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686c128b117ae/Documents/"/>
    </mc:Choice>
  </mc:AlternateContent>
  <xr:revisionPtr revIDLastSave="24" documentId="14_{2D83136F-5D80-4CFC-9052-344E21D9D36E}" xr6:coauthVersionLast="47" xr6:coauthVersionMax="47" xr10:uidLastSave="{B00C97E0-6821-4314-A966-C48F54162DF7}"/>
  <bookViews>
    <workbookView xWindow="-120" yWindow="-120" windowWidth="29040" windowHeight="15720" xr2:uid="{B02FFCFC-2A83-4CEB-8233-F9AAB8F1AC29}"/>
  </bookViews>
  <sheets>
    <sheet name="RAK BELAN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1" i="1" l="1"/>
  <c r="AC32" i="1"/>
  <c r="AC33" i="1"/>
  <c r="AC34" i="1"/>
  <c r="AC109" i="1"/>
  <c r="AB55" i="1"/>
  <c r="Z55" i="1"/>
  <c r="W55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" i="1"/>
  <c r="V224" i="1"/>
  <c r="U224" i="1"/>
  <c r="T224" i="1"/>
  <c r="S224" i="1"/>
  <c r="R224" i="1"/>
  <c r="W223" i="1"/>
  <c r="V223" i="1"/>
  <c r="U223" i="1"/>
  <c r="T223" i="1"/>
  <c r="S223" i="1"/>
  <c r="R223" i="1"/>
  <c r="AC55" i="1" l="1"/>
  <c r="AC224" i="1"/>
  <c r="AC223" i="1"/>
</calcChain>
</file>

<file path=xl/sharedStrings.xml><?xml version="1.0" encoding="utf-8"?>
<sst xmlns="http://schemas.openxmlformats.org/spreadsheetml/2006/main" count="3719" uniqueCount="357">
  <si>
    <t>KODE SKPD</t>
  </si>
  <si>
    <t>NAMA SKPD</t>
  </si>
  <si>
    <t>KODE SUB UNIT</t>
  </si>
  <si>
    <t>NAMA SUB UNIT</t>
  </si>
  <si>
    <t>KODE BIDANG URUSAN</t>
  </si>
  <si>
    <t>NAMA BIDANG URUSAN</t>
  </si>
  <si>
    <t>KODE PROGRAM</t>
  </si>
  <si>
    <t>NAMA PROGRAM</t>
  </si>
  <si>
    <t>KODE KEGIATAN</t>
  </si>
  <si>
    <t>NAMA KEGIATAN</t>
  </si>
  <si>
    <t>NAMA SUB KEGIATAN</t>
  </si>
  <si>
    <t>KODE REKENING</t>
  </si>
  <si>
    <t>NAMA REKENING</t>
  </si>
  <si>
    <t>ANGGARAN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</si>
  <si>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</si>
  <si>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</si>
  <si>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</si>
  <si>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</si>
  <si>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</si>
  <si>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</si>
  <si>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</si>
  <si>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</si>
  <si>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</si>
  <si>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</si>
  <si>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</si>
  <si>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</si>
  <si>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RAK</t>
  </si>
  <si>
    <t>1.01.0.00.0.00.01.0000</t>
  </si>
  <si>
    <t>DINAS PENDIDIKAN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</si>
  <si>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</si>
  <si>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</si>
  <si>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</si>
  <si>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</si>
  <si>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</si>
  <si>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</si>
  <si>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Pembangunan Unit Sekolah Baru (USB)</t>
  </si>
  <si>
    <t>5.2.02.05.001.00005</t>
  </si>
  <si>
    <t>Belanja Modal Alat Kantor Lainnya</t>
  </si>
  <si>
    <t>5.2.02.05.002.00001</t>
  </si>
  <si>
    <t>Belanja Modal Mebel</t>
  </si>
  <si>
    <t>5.2.02.05.003.00001</t>
  </si>
  <si>
    <t>Belanja Modal Meja Kerja Pejabat</t>
  </si>
  <si>
    <t>5.2.02.05.003.00003</t>
  </si>
  <si>
    <t>Belanja Modal Kursi Kerja Pejabat</t>
  </si>
  <si>
    <t>5.2.03.01.001.00010</t>
  </si>
  <si>
    <t>Belanja Modal Bangunan Gedung Tempat Pendidikan</t>
  </si>
  <si>
    <t>Pembangunan Ruang Unit Kesehatan Sekolah</t>
  </si>
  <si>
    <t>Pembangunan Sarana, Prasarana dan Utilitas Sekolah</t>
  </si>
  <si>
    <t>5.2.03.04.001.00004</t>
  </si>
  <si>
    <t>Belanja Modal Pagar</t>
  </si>
  <si>
    <t>5.1.02.01.001.00039</t>
  </si>
  <si>
    <t>Belanja Barang untuk Dijual/Diserahkan kepada Masyarakat</t>
  </si>
  <si>
    <t>5.2.04.02.004.00001</t>
  </si>
  <si>
    <t>Belanja Modal Bangunan Pengaman Sungai/Pantai dan Penanggulangan Bencana Alam</t>
  </si>
  <si>
    <t>5.2.04.02.004.00004</t>
  </si>
  <si>
    <t>Belanja Modal Bangunan Pembuang Pengaman Sungai</t>
  </si>
  <si>
    <t>Rehabilitasi Sedang/Berat Ruang Guru/Kepala Sekolah/TU</t>
  </si>
  <si>
    <t>Rehabilitasi Sedang/Berat Ruang Unit Kesehatan Sekolah</t>
  </si>
  <si>
    <t>Rehabilitasi Sedang/Berat Perpustakaan Sekolah</t>
  </si>
  <si>
    <t>Pengadaan Mebel Sekolah</t>
  </si>
  <si>
    <t>Pembinaan Minat, Bakat dan Kreativitas Siswa</t>
  </si>
  <si>
    <t>5.1.02.01.001.00024</t>
  </si>
  <si>
    <t>Belanja Alat/Bahan untuk Kegiatan Kantor-Alat Tulis Kantor</t>
  </si>
  <si>
    <t>5.1.02.01.001.00032</t>
  </si>
  <si>
    <t>Belanja Alat/Bahan untuk Kegiatan Kantor-Perlengkapan Dinas</t>
  </si>
  <si>
    <t>5.1.02.01.001.00058</t>
  </si>
  <si>
    <t>Belanja Makanan dan Minuman Aktivitas Lapangan</t>
  </si>
  <si>
    <t>5.1.02.01.001.00076</t>
  </si>
  <si>
    <t>Belanja Pakaian Olahraga</t>
  </si>
  <si>
    <t>5.1.02.02.001.00003</t>
  </si>
  <si>
    <t>Honorarium Narasumber atau Pembahas, Moderator, Pembawa Acara, dan Panitia</t>
  </si>
  <si>
    <t>5.1.02.02.001.00025</t>
  </si>
  <si>
    <t>Belanja Jasa Tenaga Kesenian dan Kebudayaan</t>
  </si>
  <si>
    <t>5.1.02.02.001.00037</t>
  </si>
  <si>
    <t>Belanja Jasa Juri Perlombaan/Pertandingan</t>
  </si>
  <si>
    <t>5.1.02.02.001.00055</t>
  </si>
  <si>
    <t>Belanja Jasa Iklan/Reklame, Film, dan Pemotretan</t>
  </si>
  <si>
    <t>5.1.02.02.004.00132</t>
  </si>
  <si>
    <t>Belanja Sewa Peralatan Studio Audio</t>
  </si>
  <si>
    <t>5.1.02.02.005.00009</t>
  </si>
  <si>
    <t>Belanja Sewa Bangunan Gedung Tempat Pertemuan</t>
  </si>
  <si>
    <t>5.1.02.02.005.00011</t>
  </si>
  <si>
    <t>Belanja Sewa Bangunan Gedung Tempat Olahraga</t>
  </si>
  <si>
    <t>5.1.02.04.001.00001</t>
  </si>
  <si>
    <t>Belanja Perjalanan Dinas Biasa</t>
  </si>
  <si>
    <t>Penyediaan Pendidik dan Tenaga Kependidikan bagi Satuan Pendidikan Sekolah Dasar</t>
  </si>
  <si>
    <t>5.1.02.02.001.00013</t>
  </si>
  <si>
    <t>Belanja Jasa Tenaga Pendidikan</t>
  </si>
  <si>
    <t>5.1.02.02.001.00083</t>
  </si>
  <si>
    <t>Belanja jasa Pegawai Pemerintah dengan Perjanjian Kerja (PPPK) Paruh Waktu pada jabatan guru</t>
  </si>
  <si>
    <t>5.1.02.02.001.00086</t>
  </si>
  <si>
    <t>Belanja jasa Pegawai Pemerintah dengan Perjanjian Kerja (PPPK) Paruh Waktu pada jabatan tenaga teknis</t>
  </si>
  <si>
    <t>5.1.02.02.002.00005</t>
  </si>
  <si>
    <t>Belanja Iuran Jaminan Kesehatan bagi Non ASN</t>
  </si>
  <si>
    <t>5.1.02.02.002.00006</t>
  </si>
  <si>
    <t>Belanja Iuran Jaminan Kecelakaan Kerja bagi Non ASN</t>
  </si>
  <si>
    <t>5.1.02.02.002.00007</t>
  </si>
  <si>
    <t>Belanja Iuran Jaminan Kematian bagi Non ASN</t>
  </si>
  <si>
    <t>Pengembangan Karir Pendidik dan Tenaga Kependidikan pada Satuan Pendidikan Sekolah Dasar</t>
  </si>
  <si>
    <t>5.1.02.01.001.00030</t>
  </si>
  <si>
    <t>Belanja Alat/Bahan untuk Kegiatan Kantor-Perabot Kantor</t>
  </si>
  <si>
    <t>5.1.02.01.001.00052</t>
  </si>
  <si>
    <t>Belanja Makanan dan Minuman Rapat</t>
  </si>
  <si>
    <t>5.1.02.02.005.00043</t>
  </si>
  <si>
    <t>Belanja Sewa Hotel</t>
  </si>
  <si>
    <t>5.1.02.02.012.00001</t>
  </si>
  <si>
    <t>Belanja Kursus Singkat/Pelatihan</t>
  </si>
  <si>
    <t>5.1.02.04.001.00004</t>
  </si>
  <si>
    <t>Belanja Perjalanan Dinas Paket Meeting Dalam Kota</t>
  </si>
  <si>
    <t>Pembinaan Kelembagaan dan Manajemen Sekolah</t>
  </si>
  <si>
    <t>Peningkatan Kapasitas Pengelolaan Dana BOS Sekolah Dasar</t>
  </si>
  <si>
    <t>Pembangunan Laboratorium Sekolah Dasar</t>
  </si>
  <si>
    <t>Pengadaan Perlengkapan Peserta Didik</t>
  </si>
  <si>
    <t>Pembangunan Ruang Kelas Baru</t>
  </si>
  <si>
    <t>Rehabilitasi Sedang/Berat Sarana, Prasarana dan Utilitas Sekolah</t>
  </si>
  <si>
    <t>Rehabilitasi Sedang/Berat Ruang Kelas Sekolah</t>
  </si>
  <si>
    <t>Penyediaan Biaya Personil Peserta Didik Sekolah Dasar</t>
  </si>
  <si>
    <t>5.1.02.02.004.00049</t>
  </si>
  <si>
    <t>Belanja Sewa Alat Angkutan Apung Bermotor untuk Penumpang</t>
  </si>
  <si>
    <t>5.1.02.05.001.00003</t>
  </si>
  <si>
    <t>Belanja Beasiswa</t>
  </si>
  <si>
    <t>Pengadaan Alat Praktik dan Peraga Peserta Didik</t>
  </si>
  <si>
    <t>5.1.02.01.001.00034</t>
  </si>
  <si>
    <t>Belanja Alat/Bahan untuk Kegiatan Kantor- Perlengkapan Pendukung Olahraga</t>
  </si>
  <si>
    <t>5.2.02.10.001.00002</t>
  </si>
  <si>
    <t>Belanja Modal Personal Computer</t>
  </si>
  <si>
    <t>5.2.05.02.001.00001</t>
  </si>
  <si>
    <t>Belanja Modal Alat Musik</t>
  </si>
  <si>
    <t>1.01.02.2.02</t>
  </si>
  <si>
    <t>Pengelolaan Pendidikan Sekolah Menengah Pertama</t>
  </si>
  <si>
    <t>5.1.02.02.001.00029</t>
  </si>
  <si>
    <t>Belanja Jasa Tenaga Ahli</t>
  </si>
  <si>
    <t>Pembangunan Perpustakaan Sekolah</t>
  </si>
  <si>
    <t>Pembangunan Laboratorium</t>
  </si>
  <si>
    <t>Rehabilitasi Sedang/Berat Laboratorium</t>
  </si>
  <si>
    <t>Rehabilitasi Sedang/Berat Rumah Dinas Kepala Sekolah/Guru/Penjaga Sekolah</t>
  </si>
  <si>
    <t>Penyediaan Biaya Personil Peserta Didik Sekolah Menengah Pertama</t>
  </si>
  <si>
    <t>5.1.02.02.001.00011</t>
  </si>
  <si>
    <t>Honorarium Penyelenggaraan Kegiatan Pendidikan dan Pelatihan</t>
  </si>
  <si>
    <t>5.1.02.05.001.00001</t>
  </si>
  <si>
    <t>Belanja Hadiah yang Bersifat Perlombaan</t>
  </si>
  <si>
    <t>5.2.02.19.001.00006</t>
  </si>
  <si>
    <t>Belanja Modal Peralatan Olahraga Lainnya</t>
  </si>
  <si>
    <t>Penyediaan Pendidik dan Tenaga Kependidikan bagi Satuan Pendidikan Sekolah Menengah Pertama</t>
  </si>
  <si>
    <t>Pengembangan Karir Pendidik dan Tenaga Kependidikan pada Satuan Pendidikan Sekolah Menengah Pertama</t>
  </si>
  <si>
    <t>5.1.05.05.001.00001</t>
  </si>
  <si>
    <t>Belanja Hibah Uang kepada Badan dan Lembaga yang Bersifat Nirlaba, Sukarela dan Sosial yang Dibentuk Berdasarkan Peraturan Perundang-Undangan</t>
  </si>
  <si>
    <t>Peningkatan Kapasitas Pengelolaan Dana BOS Sekolah Menengah Pertama</t>
  </si>
  <si>
    <t>5.1.02.04.001.00003</t>
  </si>
  <si>
    <t>Belanja Perjalanan Dinas Dalam Kota</t>
  </si>
  <si>
    <t>1.01.02.2.03</t>
  </si>
  <si>
    <t>Pengelolaan Pendidikan Anak Usia Dini (PAUD)</t>
  </si>
  <si>
    <t>Pembangunan Sarana, Prasarana dan Utilitas PAUD</t>
  </si>
  <si>
    <t>Pengadaan Mebel PAUD</t>
  </si>
  <si>
    <t>Penyediaan Pendidik dan Tenaga Kependidikan bagi Satuan PAUD</t>
  </si>
  <si>
    <t>Pengembangan Karir Pendidik dan Tenaga Kependidikan pada Satuan Pendidikan PAUD</t>
  </si>
  <si>
    <t>Pembinaan Kelembagaan dan Manajemen PAUD</t>
  </si>
  <si>
    <t>5.1.02.01.001.00029</t>
  </si>
  <si>
    <t>Belanja Alat/Bahan untuk Kegiatan Kantor-Bahan Komputer</t>
  </si>
  <si>
    <t>Pembinaan Minat, Bakat dan Kreativitas Peserta Didik</t>
  </si>
  <si>
    <t>Pengadaan Alat Praktik dan Peraga  Peserta Didik PAUD</t>
  </si>
  <si>
    <t>Penyelenggaraan Proses Belajar PAUD</t>
  </si>
  <si>
    <t>5.1.02.01.001.00036</t>
  </si>
  <si>
    <t>Belanja Alat/Bahan untuk Kegiatan Kantor-Alat/Bahan untuk Kegiatan Kantor Lainnya</t>
  </si>
  <si>
    <t>1.01.02.2.04</t>
  </si>
  <si>
    <t>Pengelolaan Pendidikan Nonformal/Kesetaraan</t>
  </si>
  <si>
    <t>Penyediaan Biaya Personil Peserta Didik Nonformal/Kesetaraan</t>
  </si>
  <si>
    <t>5.1.02.01.001.00068</t>
  </si>
  <si>
    <t>Belanja Pakaian Siaga</t>
  </si>
  <si>
    <t>1.01.03</t>
  </si>
  <si>
    <t>PROGRAM PENGEMBANGAN KURIKULUM</t>
  </si>
  <si>
    <t>1.01.03.2.01</t>
  </si>
  <si>
    <t>Penetapan Kurikulum Muatan Lokal Pendidikan Dasar</t>
  </si>
  <si>
    <t>Pelatihan Penyusunan Kurikulum Muatan Lokal Pendidikan Dasar</t>
  </si>
  <si>
    <t>5.1.02.01.001.00025</t>
  </si>
  <si>
    <t>Belanja Alat/Bahan untuk Kegiatan Kantor- Kertas dan Cover</t>
  </si>
  <si>
    <t>1.01.03.2.02</t>
  </si>
  <si>
    <t>Penetapan Kurikulum Muatan Lokal Pendidikan Anak Usia Dini dan Pendidikan Nonformal</t>
  </si>
  <si>
    <t>Penyusunan Kompetensi Dasar/Capaian Pembelajaran Muatan Lokal Pendidikan Anak Usia Dini dan Pendidikan Nonformal</t>
  </si>
  <si>
    <t>1.01.04</t>
  </si>
  <si>
    <t>PROGRAM PENDIDIK DAN TENAGA KEPENDIDIKAN</t>
  </si>
  <si>
    <t>1.01.04.2.01</t>
  </si>
  <si>
    <t>Pemerataan Kuantitas dan Kualitas Pendidik dan Tenaga Kependidikan bagi Satuan Pendidikan Dasar, PAUD, dan Pendidikan Nonformal/Kesetaraan</t>
  </si>
  <si>
    <t>Perhitungan dan Pemetaan Pendidik dan Tenaga Kependidikan Satuan Pendidikan Dasar, PAUD, dan Pendidikan Nonformal/Kesetaraan</t>
  </si>
  <si>
    <t>1.01.05</t>
  </si>
  <si>
    <t>PROGRAM PENGENDALIAN PERIZINAN PENDIDIKAN</t>
  </si>
  <si>
    <t>1.01.05.2.01</t>
  </si>
  <si>
    <t>Penerbitan Izin Pendidikan Dasar yang Diselenggarakan oleh Masyarakat</t>
  </si>
  <si>
    <t>Penilaian Kelayakan Usul Perizinan Pendidikan Dasar yang Diselenggarakan oleh Masyarakat</t>
  </si>
  <si>
    <t>1.01.05.2.02</t>
  </si>
  <si>
    <t>Penerbitan Izin PAUD dan Pendidikan Nonformal yang Diselenggarakan oleh Masyarakat</t>
  </si>
  <si>
    <t>Penilaian Kelayakan Usul Perizinan PAUD dan Pendidikan Nonformal yang Diselenggarakan oleh Masyarakat</t>
  </si>
  <si>
    <t>1.01.01</t>
  </si>
  <si>
    <t>PROGRAM PENUNJANG URUSAN PEMERINTAHAN DAERAH KABUPATEN/KOTA</t>
  </si>
  <si>
    <t>1.01.01.2.01</t>
  </si>
  <si>
    <t>Perencanaan, Penganggaran, dan Evaluasi Kinerja Perangkat Daerah</t>
  </si>
  <si>
    <t>Penyusunan Dokumen Perencanaan Perangkat Daerah</t>
  </si>
  <si>
    <t>Evaluasi Kinerja Perangkat Daerah</t>
  </si>
  <si>
    <t>1.01.01.2.02</t>
  </si>
  <si>
    <t>Administrasi Keuangan Perangkat Daerah</t>
  </si>
  <si>
    <t>Penyediaan Gaji dan Tunjangan ASN</t>
  </si>
  <si>
    <t>5.1.01.01.002.00002</t>
  </si>
  <si>
    <t>Belanja Tunjangan Keluarga PPPK</t>
  </si>
  <si>
    <t>5.1.01.01.006.00002</t>
  </si>
  <si>
    <t>Belanja Tunjangan Beras PPPK</t>
  </si>
  <si>
    <t>5.1.01.01.007.00002</t>
  </si>
  <si>
    <t>Belanja Tunjangan PPh/Tunjangan Khusus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</si>
  <si>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</si>
  <si>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</si>
  <si>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</si>
  <si>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</si>
  <si>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</si>
  <si>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</si>
  <si>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5.1.01.02.005.00001</t>
  </si>
  <si>
    <t>Tambahan Penghasilan berdasarkan Prestasi Kerja PNS</t>
  </si>
  <si>
    <t>5.1.01.02.005.00002</t>
  </si>
  <si>
    <t>Tambahan Penghasilan berdasarkan Prestasi Kerja PPPK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</si>
  <si>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</si>
  <si>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</si>
  <si>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</si>
  <si>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</si>
  <si>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</si>
  <si>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</si>
  <si>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</si>
  <si>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</si>
  <si>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</si>
  <si>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</si>
  <si>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</si>
  <si>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</si>
  <si>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</si>
  <si>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</si>
  <si>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</si>
  <si>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</si>
  <si>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</si>
  <si>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</si>
  <si>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</si>
  <si>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</si>
  <si>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</si>
  <si>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</si>
  <si>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</si>
  <si>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</si>
  <si>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</si>
  <si>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</si>
  <si>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</si>
  <si>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</si>
  <si>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</si>
  <si>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</si>
  <si>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</si>
  <si>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</si>
  <si>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</si>
  <si>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</si>
  <si>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</si>
  <si>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</si>
  <si>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</si>
  <si>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</si>
  <si>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5.1.01.02.006.00064</t>
  </si>
  <si>
    <t>Belanja Tunjangan Profesi Guru (TPG) PNSD</t>
  </si>
  <si>
    <t>5.1.01.02.006.00070</t>
  </si>
  <si>
    <t>Belanja Tunjangan Profesi Guru (TPG) PPPK</t>
  </si>
  <si>
    <t>5.1.01.02.006.00066</t>
  </si>
  <si>
    <t>Belanja Tambahan Penghasilan (Tamsil) Guru PNSD</t>
  </si>
  <si>
    <t>5.1.01.02.006.00072</t>
  </si>
  <si>
    <t>Belanja Tambahan Penghasilan (Tamsil) Guru PPPK</t>
  </si>
  <si>
    <t>Penyediaan Administrasi Pelaksanaan Tugas ASN</t>
  </si>
  <si>
    <t>5.1.02.01.001.00027</t>
  </si>
  <si>
    <t>Belanja Alat/Bahan untuk Kegiatan Kantor-Benda Pos</t>
  </si>
  <si>
    <t>5.1.02.02.001.00080</t>
  </si>
  <si>
    <t>Belanja Honorarium Penanggungjawaban Pengelola Keuangan</t>
  </si>
  <si>
    <t>1.01.01.2.06</t>
  </si>
  <si>
    <t>Administrasi Umum Perangkat Daerah</t>
  </si>
  <si>
    <t>5.1.02.01.001.00031</t>
  </si>
  <si>
    <t>Belanja Alat/Bahan untuk Kegiatan Kantor-Alat Listrik</t>
  </si>
  <si>
    <t>Penyediaan Peralatan dan Perlengkapan Kantor</t>
  </si>
  <si>
    <t>5.1.02.01.001.00001</t>
  </si>
  <si>
    <t>Belanja Bahan-Bahan Bangunan dan Konstruksi</t>
  </si>
  <si>
    <t>5.2.02.03.003.00009</t>
  </si>
  <si>
    <t>Belanja Modal Alat Ukur Lain-Lain</t>
  </si>
  <si>
    <t>5.2.02.05.002.00006</t>
  </si>
  <si>
    <t>Belanja Modal Alat Rumah Tangga Lainnya (Home Use)</t>
  </si>
  <si>
    <t>5.2.02.06.001.00002</t>
  </si>
  <si>
    <t>Belanja Modal Peralatan Studio Video dan Film</t>
  </si>
  <si>
    <t>Penyediaan Bahan Logistik Kantor</t>
  </si>
  <si>
    <t>5.1.02.01.001.00053</t>
  </si>
  <si>
    <t>Belanja Makanan dan Minuman Jamuan Tamu</t>
  </si>
  <si>
    <t>Penyelenggaraan Rapat Koordinasi dan Konsultasi SKPD</t>
  </si>
  <si>
    <t>1.01.01.2.07</t>
  </si>
  <si>
    <t>Pengadaan Barang Milik Daerah Penunjang Urusan Pemerintah Daerah</t>
  </si>
  <si>
    <t>Pengadaan Mebel</t>
  </si>
  <si>
    <t>Pengadaan Peralatan dan Mesin Lainnya</t>
  </si>
  <si>
    <t>5.2.02.05.001.00004</t>
  </si>
  <si>
    <t>Belanja Modal Alat Penyimpan Perlengkapan Kantor</t>
  </si>
  <si>
    <t>5.2.02.05.002.00004</t>
  </si>
  <si>
    <t>Belanja Modal Alat Pendingin</t>
  </si>
  <si>
    <t>5.2.02.06.002.00007</t>
  </si>
  <si>
    <t>Belanja Modal Alat-Alat Sandi</t>
  </si>
  <si>
    <t>5.2.02.10.002.00003</t>
  </si>
  <si>
    <t>Belanja Modal Peralatan Personal Computer</t>
  </si>
  <si>
    <t>1.01.01.2.08</t>
  </si>
  <si>
    <t>Penyediaan Jasa Penunjang Urusan Pemerintahan Daerah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</si>
  <si>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</si>
  <si>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</si>
  <si>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</si>
  <si>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</si>
  <si>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</si>
  <si>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</si>
  <si>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</si>
  <si>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</si>
  <si>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</si>
  <si>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5.1.02.02.001.00065</t>
  </si>
  <si>
    <t>Belanja Penambahan Daya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</si>
  <si>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</si>
  <si>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</si>
  <si>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</si>
  <si>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</si>
  <si>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</si>
  <si>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5.1.02.02.001.00067</t>
  </si>
  <si>
    <t>Belanja Pembayaran Pajak, Bea, dan Perizinan</t>
  </si>
  <si>
    <t>5.1.02.02.004.00036</t>
  </si>
  <si>
    <t>Belanja Sewa Kendaraan Bermotor Penumpang</t>
  </si>
  <si>
    <t>1.01.01.2.09</t>
  </si>
  <si>
    <t>Pemeliharaan Barang Milik Daerah Penunjang Urusan Pemerintahan Daerah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</si>
  <si>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</si>
  <si>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</si>
  <si>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</si>
  <si>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Penyediaan Jasa Pemeliharaan, Biaya Pemeliharaan, Pajak dan Perizinan Kendaraan Dinas Operasional atau Lapangan</t>
  </si>
  <si>
    <t>5.1.02.03.002.00038</t>
  </si>
  <si>
    <t>Belanja Pemeliharaan Alat Angkutan-Alat Angkutan Darat Bermotor-Kendaraan Bermotor Beroda Dua</t>
  </si>
  <si>
    <t>5.1.02.03.002.00049</t>
  </si>
  <si>
    <t>Belanja Pemeliharaan Alat Angkutan-Alat Angkutan Apung Bermotor-Alat Angkutan Apung Bermotor untuk Penumpang</t>
  </si>
  <si>
    <t>Pemeliharaan Peralatan dan Mesin Lainnya</t>
  </si>
  <si>
    <t>5.1.02.03.002.00068</t>
  </si>
  <si>
    <t>Belanja Pemeliharaan Alat Bengkel dan Alat Ukur-Alat Bengkel Bermesin-Alat Bengkel Bermesin Lainnya</t>
  </si>
  <si>
    <t>5.1.02.03.002.00121</t>
  </si>
  <si>
    <t>Belanja Pemeliharaan Alat Kantor dan Rumah Tangga-Alat Rumah Tangga-Alat Pendingin</t>
  </si>
  <si>
    <t>5.1.02.03.002.00148</t>
  </si>
  <si>
    <t>Belanja Pemeliharaan Alat Studio, Komunikasi, dan Pemancar-Alat Komunikasi-Alat Komunikasi Lainnya</t>
  </si>
  <si>
    <t>5.1.02.03.002.00405</t>
  </si>
  <si>
    <t>Belanja Pemeliharaan Komputer-Komputer Unit-Personal Computer</t>
  </si>
  <si>
    <t>5.1.02.03.002.00411</t>
  </si>
  <si>
    <t>Belanja Pemeliharaan Komputer-Peralatan Komputer-Peralatan Komputer Lainnya</t>
  </si>
  <si>
    <t>5.1.02.03.004.00126</t>
  </si>
  <si>
    <t>Belanja Pemeliharaan Jaringan-Jaringan Listrik-Jaringan Listrik Lainnya</t>
  </si>
  <si>
    <t>Belanja Iuran Jaminan Kesehatan bagi PPPK Paruh Waktu pada Jabatan Tenaga Teknis</t>
  </si>
  <si>
    <t>Penyediaan Komponen Instalasi
Listrik/Penerangan Bangunan Kantor</t>
  </si>
  <si>
    <t>5.1.02.02.002.00014</t>
  </si>
  <si>
    <t>5.1.02.02.002.00017</t>
  </si>
  <si>
    <t>Belanja Iuran Jaminan Kesehatan bagi PPPK Paruh Waktu pada Jabatan Guru</t>
  </si>
  <si>
    <t>5.1.02.02.002.00022</t>
  </si>
  <si>
    <t>Belanja Iuran Jaminan Kecelakaan Kerja bagi PPPK Paruh Waktu pada Jabatan Guru</t>
  </si>
  <si>
    <t>5.1.02.02.002.00025</t>
  </si>
  <si>
    <t>Belanja Iuran Jaminan Kecelakaan Kerja bagi PPPK Paruh Waktu pada Jabatan Tenaga Teknis</t>
  </si>
  <si>
    <t>5.1.02.02.002.00030</t>
  </si>
  <si>
    <t>Belanja Iuran Jaminan Kematian bagi PPPK Paruh Waktu pada Jabatan Guru</t>
  </si>
  <si>
    <t>5.1.02.02.002.00033</t>
  </si>
  <si>
    <t>Belanja Iuran Jaminan Kematian bagi PPPK Paruh Waktu pada Jabatan Tenaga Teknis</t>
  </si>
  <si>
    <t xml:space="preserve">Belanja Barang untuk Dijual/Diserahkan kepada Masyarakat </t>
  </si>
  <si>
    <t>5.1.02.01.001.00064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</si>
</sst>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&quot;Rp&quot;#,##0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99A1B7"/>
      <name val="Arial"/>
      <family val="2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3" fillId="0" borderId="0" xfId="0" applyFont="1" applyAlignment="1">
      <alignment horizontal="left" vertical="center" wrapText="1"/>
    </xf>
    <xf numFmtId="2" fontId="5" fillId="0" borderId="0" xfId="0" quotePrefix="1" applyNumberFormat="1" applyFont="1"/>
    <xf numFmtId="0" fontId="0" fillId="0" borderId="0" xfId="0" quotePrefix="1"/>
    <xf numFmtId="164" fontId="3" fillId="3" borderId="1" xfId="1" applyFont="1" applyFill="1" applyBorder="1" applyAlignment="1">
      <alignment horizontal="left" vertical="center" wrapText="1"/>
    </xf>
    <xf numFmtId="167" fontId="3" fillId="3" borderId="1" xfId="1" applyNumberFormat="1" applyFont="1" applyFill="1" applyBorder="1" applyAlignment="1">
      <alignment horizontal="left" vertical="center" wrapText="1"/>
    </xf>
    <xf numFmtId="167" fontId="3" fillId="0" borderId="1" xfId="1" applyNumberFormat="1" applyFont="1" applyFill="1" applyBorder="1" applyAlignment="1">
      <alignment horizontal="left" vertical="center" wrapText="1"/>
    </xf>
    <xf numFmtId="164" fontId="3" fillId="0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0" borderId="1" xfId="1" applyFont="1" applyFill="1" applyBorder="1" applyAlignment="1">
      <alignment vertical="center"/>
    </xf>
    <xf numFmtId="165" fontId="4" fillId="0" borderId="1" xfId="3" applyNumberFormat="1" applyFont="1" applyFill="1" applyBorder="1" applyAlignment="1">
      <alignment vertical="center"/>
    </xf>
    <xf numFmtId="167" fontId="6" fillId="0" borderId="1" xfId="3" applyNumberFormat="1" applyFont="1" applyFill="1" applyBorder="1" applyAlignment="1">
      <alignment vertical="center"/>
    </xf>
    <xf numFmtId="166" fontId="3" fillId="0" borderId="1" xfId="1" applyNumberFormat="1" applyFont="1" applyFill="1" applyBorder="1" applyAlignment="1">
      <alignment horizontal="right" vertical="center" wrapText="1"/>
    </xf>
    <xf numFmtId="44" fontId="3" fillId="0" borderId="1" xfId="1" applyNumberFormat="1" applyFont="1" applyFill="1" applyBorder="1" applyAlignment="1">
      <alignment horizontal="left" vertical="center" wrapText="1"/>
    </xf>
    <xf numFmtId="167" fontId="3" fillId="3" borderId="1" xfId="1" applyNumberFormat="1" applyFont="1" applyFill="1" applyBorder="1" applyAlignment="1">
      <alignment vertical="center"/>
    </xf>
    <xf numFmtId="164" fontId="3" fillId="4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1" applyFont="1" applyFill="1" applyBorder="1" applyAlignment="1">
      <alignment horizontal="left" vertical="center" wrapText="1"/>
    </xf>
  </cellXfs>
  <cellStyles count="4">
    <cellStyle name="Comma" xfId="1" builtinId="3"/>
    <cellStyle name="Comma [0]" xfId="3" builtinId="6"/>
    <cellStyle name="Comma [0] 2" xfId="2" xr:uid="{10C21F74-D985-4AF4-B08C-7C7C577C83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2335-4AFD-477E-83A9-E81E80E2EB2B}">
  <dimension ref="C1:AC302"/>
  <sheetViews>
    <sheetView showGridLines="0" tabSelected="1" topLeftCell="L1" zoomScale="95" zoomScaleNormal="95" workbookViewId="0">
      <pane xSplit="4" ySplit="1" topLeftCell="U2" activePane="bottomRight" state="frozen"/>
      <selection activeCell="L1" sqref="L1"/>
      <selection pane="topRight" activeCell="Q1" sqref="Q1"/>
      <selection pane="bottomLeft" activeCell="L5" sqref="L5"/>
      <selection pane="bottomRight" activeCell="AD11" sqref="AD11"/>
    </sheetView>
  </sheetViews>
  <sheetFormatPr defaultRowHeight="15" x14ac:dyDescent="0.25"/>
  <cols>
    <col min="2" max="2" width="4.140625" customWidth="1"/>
    <col min="3" max="3" width="20.5703125" customWidth="1"/>
    <col min="4" max="4" width="18.42578125" bestFit="1" customWidth="1"/>
    <col min="5" max="13" width="17.42578125" customWidth="1"/>
    <col min="14" max="14" width="18.85546875" customWidth="1"/>
    <col min="15" max="15" width="17.42578125" customWidth="1"/>
    <col min="16" max="16" width="20.5703125" style="1" bestFit="1" customWidth="1"/>
    <col min="17" max="17" width="19.140625" customWidth="1"/>
    <col min="18" max="18" width="20" customWidth="1"/>
    <col min="19" max="19" width="22.28515625" customWidth="1"/>
    <col min="20" max="21" width="17.42578125" customWidth="1"/>
    <col min="22" max="22" width="20.28515625" customWidth="1"/>
    <col min="23" max="23" width="22.28515625" customWidth="1"/>
    <col min="24" max="24" width="17.42578125" customWidth="1"/>
    <col min="25" max="26" width="20.85546875" customWidth="1"/>
    <col min="27" max="27" width="20.140625" customWidth="1"/>
    <col min="28" max="28" width="18.140625" customWidth="1"/>
    <col min="29" max="29" width="21.5703125" customWidth="1"/>
  </cols>
  <sheetData>
    <row r="1" spans="3:29" ht="63.75" customHeight="1" x14ac:dyDescent="0.25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</row>
    <row r="2" spans="3:29" ht="51" x14ac:dyDescent="0.25">
      <c r="C2" s="5" t="s">
        <v>27</v>
      </c>
      <c r="D2" s="5" t="s">
        <v>28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111</v>
      </c>
      <c r="N2" s="5" t="s">
        <v>50</v>
      </c>
      <c r="O2" s="5" t="s">
        <v>51</v>
      </c>
      <c r="P2" s="15">
        <v>247399300</v>
      </c>
      <c r="Q2" s="13"/>
      <c r="R2" s="13">
        <v>34409000</v>
      </c>
      <c r="S2" s="13"/>
      <c r="T2" s="13"/>
      <c r="U2" s="13"/>
      <c r="V2" s="13"/>
      <c r="W2" s="13">
        <v>212990300</v>
      </c>
      <c r="X2" s="13"/>
      <c r="Y2" s="13"/>
      <c r="Z2" s="13"/>
      <c r="AA2" s="13"/>
      <c r="AB2" s="13"/>
      <c r="AC2" s="4">
        <f>Q2+R2+S2+T2+U2+V2+W2+X2+Y2+Z2+AA2+AB2</f>
        <v>247399300</v>
      </c>
    </row>
    <row r="3" spans="3:29" ht="38.25" x14ac:dyDescent="0.25">
      <c r="C3" s="5" t="s">
        <v>27</v>
      </c>
      <c r="D3" s="5" t="s">
        <v>28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113</v>
      </c>
      <c r="N3" s="5" t="s">
        <v>36</v>
      </c>
      <c r="O3" s="5" t="s">
        <v>37</v>
      </c>
      <c r="P3" s="15">
        <v>19566000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19566000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4">
        <f t="shared" ref="AC3:AC61" si="0">Q3+R3+S3+T3+U3+V3+W3+X3+Y3+Z3+AA3+AB3</f>
        <v>19566000</v>
      </c>
    </row>
    <row r="4" spans="3:29" ht="51" x14ac:dyDescent="0.25">
      <c r="C4" s="5" t="s">
        <v>27</v>
      </c>
      <c r="D4" s="5" t="s">
        <v>28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34</v>
      </c>
      <c r="M4" s="5" t="s">
        <v>113</v>
      </c>
      <c r="N4" s="5" t="s">
        <v>50</v>
      </c>
      <c r="O4" s="5" t="s">
        <v>51</v>
      </c>
      <c r="P4" s="15">
        <v>494066000</v>
      </c>
      <c r="Q4" s="13">
        <v>0</v>
      </c>
      <c r="R4" s="13">
        <v>0</v>
      </c>
      <c r="S4" s="13"/>
      <c r="T4" s="13">
        <v>59073000</v>
      </c>
      <c r="U4" s="13">
        <v>0</v>
      </c>
      <c r="V4" s="13">
        <v>47656000</v>
      </c>
      <c r="W4" s="13">
        <v>387337000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4">
        <f t="shared" si="0"/>
        <v>494066000</v>
      </c>
    </row>
    <row r="5" spans="3:29" ht="38.25" x14ac:dyDescent="0.25">
      <c r="C5" s="5" t="s">
        <v>27</v>
      </c>
      <c r="D5" s="5" t="s">
        <v>28</v>
      </c>
      <c r="E5" s="5" t="s">
        <v>27</v>
      </c>
      <c r="F5" s="5" t="s">
        <v>28</v>
      </c>
      <c r="G5" s="5" t="s">
        <v>29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113</v>
      </c>
      <c r="N5" s="5" t="s">
        <v>38</v>
      </c>
      <c r="O5" s="5" t="s">
        <v>39</v>
      </c>
      <c r="P5" s="15">
        <v>430762200</v>
      </c>
      <c r="Q5" s="13"/>
      <c r="R5" s="13"/>
      <c r="S5" s="13"/>
      <c r="T5" s="13"/>
      <c r="U5" s="13"/>
      <c r="V5" s="13">
        <v>430762200</v>
      </c>
      <c r="W5" s="13"/>
      <c r="X5" s="13"/>
      <c r="Y5" s="13"/>
      <c r="Z5" s="13"/>
      <c r="AA5" s="13"/>
      <c r="AB5" s="13"/>
      <c r="AC5" s="4">
        <f t="shared" si="0"/>
        <v>430762200</v>
      </c>
    </row>
    <row r="6" spans="3:29" ht="38.25" x14ac:dyDescent="0.25">
      <c r="C6" s="5" t="s">
        <v>27</v>
      </c>
      <c r="D6" s="5" t="s">
        <v>28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  <c r="M6" s="5" t="s">
        <v>113</v>
      </c>
      <c r="N6" s="5" t="s">
        <v>44</v>
      </c>
      <c r="O6" s="5" t="s">
        <v>45</v>
      </c>
      <c r="P6" s="15">
        <v>3702010500</v>
      </c>
      <c r="Q6" s="13">
        <v>0</v>
      </c>
      <c r="R6" s="13">
        <v>39842000</v>
      </c>
      <c r="S6" s="13"/>
      <c r="T6" s="13">
        <v>457187000</v>
      </c>
      <c r="U6" s="13">
        <v>0</v>
      </c>
      <c r="V6" s="13">
        <v>296181500</v>
      </c>
      <c r="W6" s="13">
        <v>2908800000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4">
        <f t="shared" si="0"/>
        <v>3702010500</v>
      </c>
    </row>
    <row r="7" spans="3:29" ht="38.25" x14ac:dyDescent="0.25">
      <c r="C7" s="5" t="s">
        <v>27</v>
      </c>
      <c r="D7" s="5" t="s">
        <v>28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46</v>
      </c>
      <c r="N7" s="5" t="s">
        <v>44</v>
      </c>
      <c r="O7" s="5" t="s">
        <v>45</v>
      </c>
      <c r="P7" s="15">
        <v>292036799</v>
      </c>
      <c r="Q7" s="13">
        <v>0</v>
      </c>
      <c r="R7" s="13">
        <v>21731999</v>
      </c>
      <c r="S7" s="13">
        <v>19015500</v>
      </c>
      <c r="T7" s="13">
        <v>0</v>
      </c>
      <c r="U7" s="13">
        <v>0</v>
      </c>
      <c r="V7" s="13">
        <v>0</v>
      </c>
      <c r="W7" s="13">
        <v>251289300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4">
        <f t="shared" si="0"/>
        <v>292036799</v>
      </c>
    </row>
    <row r="8" spans="3:29" ht="38.25" x14ac:dyDescent="0.25">
      <c r="C8" s="5" t="s">
        <v>27</v>
      </c>
      <c r="D8" s="5" t="s">
        <v>28</v>
      </c>
      <c r="E8" s="5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5" t="s">
        <v>32</v>
      </c>
      <c r="K8" s="5" t="s">
        <v>33</v>
      </c>
      <c r="L8" s="5" t="s">
        <v>34</v>
      </c>
      <c r="M8" s="5" t="s">
        <v>47</v>
      </c>
      <c r="N8" s="5" t="s">
        <v>48</v>
      </c>
      <c r="O8" s="5" t="s">
        <v>49</v>
      </c>
      <c r="P8" s="15">
        <v>1393847095</v>
      </c>
      <c r="Q8" s="13">
        <v>0</v>
      </c>
      <c r="R8" s="13">
        <v>56140998</v>
      </c>
      <c r="S8" s="13">
        <v>55235500</v>
      </c>
      <c r="T8" s="13">
        <v>81494997</v>
      </c>
      <c r="U8" s="13">
        <v>0</v>
      </c>
      <c r="V8" s="13">
        <v>0</v>
      </c>
      <c r="W8" s="13">
        <v>1200975600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4">
        <f t="shared" si="0"/>
        <v>1393847095</v>
      </c>
    </row>
    <row r="9" spans="3:29" ht="51" x14ac:dyDescent="0.25">
      <c r="C9" s="5" t="s">
        <v>27</v>
      </c>
      <c r="D9" s="5" t="s">
        <v>28</v>
      </c>
      <c r="E9" s="5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5" t="s">
        <v>32</v>
      </c>
      <c r="K9" s="5" t="s">
        <v>33</v>
      </c>
      <c r="L9" s="5" t="s">
        <v>34</v>
      </c>
      <c r="M9" s="5" t="s">
        <v>47</v>
      </c>
      <c r="N9" s="5" t="s">
        <v>50</v>
      </c>
      <c r="O9" s="5" t="s">
        <v>51</v>
      </c>
      <c r="P9" s="15">
        <v>455215800</v>
      </c>
      <c r="Q9" s="13">
        <v>0</v>
      </c>
      <c r="R9" s="13">
        <v>0</v>
      </c>
      <c r="S9" s="13">
        <v>35625200</v>
      </c>
      <c r="T9" s="13">
        <v>0</v>
      </c>
      <c r="U9" s="13">
        <v>0</v>
      </c>
      <c r="V9" s="13">
        <v>0</v>
      </c>
      <c r="W9" s="13">
        <v>419590600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4">
        <f t="shared" si="0"/>
        <v>455215800</v>
      </c>
    </row>
    <row r="10" spans="3:29" ht="38.25" x14ac:dyDescent="0.25">
      <c r="C10" s="5" t="s">
        <v>27</v>
      </c>
      <c r="D10" s="5" t="s">
        <v>28</v>
      </c>
      <c r="E10" s="5" t="s">
        <v>27</v>
      </c>
      <c r="F10" s="5" t="s">
        <v>28</v>
      </c>
      <c r="G10" s="5" t="s">
        <v>29</v>
      </c>
      <c r="H10" s="5" t="s">
        <v>30</v>
      </c>
      <c r="I10" s="5" t="s">
        <v>31</v>
      </c>
      <c r="J10" s="5" t="s">
        <v>32</v>
      </c>
      <c r="K10" s="5" t="s">
        <v>33</v>
      </c>
      <c r="L10" s="5" t="s">
        <v>34</v>
      </c>
      <c r="M10" s="5" t="s">
        <v>47</v>
      </c>
      <c r="N10" s="5" t="s">
        <v>44</v>
      </c>
      <c r="O10" s="5" t="s">
        <v>45</v>
      </c>
      <c r="P10" s="15">
        <v>2486837200</v>
      </c>
      <c r="Q10" s="13">
        <v>0</v>
      </c>
      <c r="R10" s="13">
        <v>137636000</v>
      </c>
      <c r="S10" s="13">
        <v>0</v>
      </c>
      <c r="T10" s="13">
        <v>35625200</v>
      </c>
      <c r="U10" s="13">
        <v>123297500</v>
      </c>
      <c r="V10" s="13">
        <v>0</v>
      </c>
      <c r="W10" s="13">
        <v>2190278500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4">
        <f t="shared" si="0"/>
        <v>2486837200</v>
      </c>
    </row>
    <row r="11" spans="3:29" ht="76.5" x14ac:dyDescent="0.25">
      <c r="C11" s="5" t="s">
        <v>27</v>
      </c>
      <c r="D11" s="5" t="s">
        <v>28</v>
      </c>
      <c r="E11" s="5" t="s">
        <v>27</v>
      </c>
      <c r="F11" s="5" t="s">
        <v>28</v>
      </c>
      <c r="G11" s="5" t="s">
        <v>29</v>
      </c>
      <c r="H11" s="5" t="s">
        <v>30</v>
      </c>
      <c r="I11" s="5" t="s">
        <v>31</v>
      </c>
      <c r="J11" s="5" t="s">
        <v>32</v>
      </c>
      <c r="K11" s="5" t="s">
        <v>33</v>
      </c>
      <c r="L11" s="5" t="s">
        <v>34</v>
      </c>
      <c r="M11" s="25" t="s">
        <v>47</v>
      </c>
      <c r="N11" s="25" t="s">
        <v>52</v>
      </c>
      <c r="O11" s="25" t="s">
        <v>53</v>
      </c>
      <c r="P11" s="15">
        <v>2743534800</v>
      </c>
      <c r="Q11" s="13">
        <v>0</v>
      </c>
      <c r="R11" s="13">
        <v>0</v>
      </c>
      <c r="S11" s="13">
        <v>44214600</v>
      </c>
      <c r="T11" s="13">
        <v>0</v>
      </c>
      <c r="U11" s="13">
        <v>0</v>
      </c>
      <c r="V11" s="13">
        <v>0</v>
      </c>
      <c r="W11" s="26">
        <v>1245041640</v>
      </c>
      <c r="X11" s="13">
        <v>0</v>
      </c>
      <c r="Y11" s="13">
        <v>0</v>
      </c>
      <c r="Z11" s="13">
        <v>0</v>
      </c>
      <c r="AA11" s="26">
        <v>1454278560</v>
      </c>
      <c r="AB11" s="13">
        <v>0</v>
      </c>
      <c r="AC11" s="4">
        <f t="shared" si="0"/>
        <v>2743534800</v>
      </c>
    </row>
    <row r="12" spans="3:29" ht="51" x14ac:dyDescent="0.25">
      <c r="C12" s="5" t="s">
        <v>27</v>
      </c>
      <c r="D12" s="5" t="s">
        <v>28</v>
      </c>
      <c r="E12" s="5" t="s">
        <v>27</v>
      </c>
      <c r="F12" s="5" t="s">
        <v>28</v>
      </c>
      <c r="G12" s="5" t="s">
        <v>29</v>
      </c>
      <c r="H12" s="5" t="s">
        <v>30</v>
      </c>
      <c r="I12" s="5" t="s">
        <v>31</v>
      </c>
      <c r="J12" s="5" t="s">
        <v>32</v>
      </c>
      <c r="K12" s="5" t="s">
        <v>33</v>
      </c>
      <c r="L12" s="5" t="s">
        <v>34</v>
      </c>
      <c r="M12" s="5" t="s">
        <v>47</v>
      </c>
      <c r="N12" s="5" t="s">
        <v>54</v>
      </c>
      <c r="O12" s="5" t="s">
        <v>55</v>
      </c>
      <c r="P12" s="15">
        <v>74652000</v>
      </c>
      <c r="Q12" s="13">
        <v>0</v>
      </c>
      <c r="R12" s="13">
        <v>0</v>
      </c>
      <c r="S12" s="13">
        <v>5296500</v>
      </c>
      <c r="T12" s="13">
        <v>0</v>
      </c>
      <c r="U12" s="13">
        <v>0</v>
      </c>
      <c r="V12" s="13"/>
      <c r="W12" s="13">
        <v>69355500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4">
        <f t="shared" si="0"/>
        <v>74652000</v>
      </c>
    </row>
    <row r="13" spans="3:29" ht="38.25" x14ac:dyDescent="0.25">
      <c r="C13" s="5" t="s">
        <v>27</v>
      </c>
      <c r="D13" s="5" t="s">
        <v>28</v>
      </c>
      <c r="E13" s="5" t="s">
        <v>27</v>
      </c>
      <c r="F13" s="5" t="s">
        <v>28</v>
      </c>
      <c r="G13" s="5" t="s">
        <v>29</v>
      </c>
      <c r="H13" s="5" t="s">
        <v>30</v>
      </c>
      <c r="I13" s="5" t="s">
        <v>31</v>
      </c>
      <c r="J13" s="5" t="s">
        <v>32</v>
      </c>
      <c r="K13" s="5" t="s">
        <v>33</v>
      </c>
      <c r="L13" s="5" t="s">
        <v>34</v>
      </c>
      <c r="M13" s="5" t="s">
        <v>35</v>
      </c>
      <c r="N13" s="5" t="s">
        <v>36</v>
      </c>
      <c r="O13" s="5" t="s">
        <v>37</v>
      </c>
      <c r="P13" s="15">
        <v>8696000</v>
      </c>
      <c r="Q13" s="13"/>
      <c r="R13" s="13"/>
      <c r="S13" s="13"/>
      <c r="T13" s="13"/>
      <c r="U13" s="13"/>
      <c r="V13" s="13"/>
      <c r="W13" s="13"/>
      <c r="X13" s="13"/>
      <c r="Y13" s="15">
        <v>8696000</v>
      </c>
      <c r="Z13" s="13"/>
      <c r="AA13" s="13"/>
      <c r="AB13" s="13"/>
      <c r="AC13" s="4">
        <f t="shared" si="0"/>
        <v>8696000</v>
      </c>
    </row>
    <row r="14" spans="3:29" ht="38.25" x14ac:dyDescent="0.25">
      <c r="C14" s="5" t="s">
        <v>27</v>
      </c>
      <c r="D14" s="5" t="s">
        <v>28</v>
      </c>
      <c r="E14" s="5" t="s">
        <v>27</v>
      </c>
      <c r="F14" s="5" t="s">
        <v>28</v>
      </c>
      <c r="G14" s="5" t="s">
        <v>29</v>
      </c>
      <c r="H14" s="5" t="s">
        <v>30</v>
      </c>
      <c r="I14" s="5" t="s">
        <v>31</v>
      </c>
      <c r="J14" s="5" t="s">
        <v>32</v>
      </c>
      <c r="K14" s="5" t="s">
        <v>33</v>
      </c>
      <c r="L14" s="5" t="s">
        <v>34</v>
      </c>
      <c r="M14" s="5" t="s">
        <v>35</v>
      </c>
      <c r="N14" s="5" t="s">
        <v>38</v>
      </c>
      <c r="O14" s="5" t="s">
        <v>39</v>
      </c>
      <c r="P14" s="15">
        <v>186961100</v>
      </c>
      <c r="Q14" s="13"/>
      <c r="R14" s="13"/>
      <c r="S14" s="13"/>
      <c r="T14" s="13"/>
      <c r="U14" s="13"/>
      <c r="V14" s="13"/>
      <c r="W14" s="13"/>
      <c r="X14" s="13"/>
      <c r="Y14" s="15">
        <v>186961100</v>
      </c>
      <c r="Z14" s="13"/>
      <c r="AA14" s="13"/>
      <c r="AB14" s="13"/>
      <c r="AC14" s="4">
        <f t="shared" si="0"/>
        <v>186961100</v>
      </c>
    </row>
    <row r="15" spans="3:29" ht="38.25" x14ac:dyDescent="0.25">
      <c r="C15" s="5" t="s">
        <v>27</v>
      </c>
      <c r="D15" s="5" t="s">
        <v>28</v>
      </c>
      <c r="E15" s="5" t="s">
        <v>27</v>
      </c>
      <c r="F15" s="5" t="s">
        <v>28</v>
      </c>
      <c r="G15" s="5" t="s">
        <v>29</v>
      </c>
      <c r="H15" s="5" t="s">
        <v>30</v>
      </c>
      <c r="I15" s="5" t="s">
        <v>31</v>
      </c>
      <c r="J15" s="5" t="s">
        <v>32</v>
      </c>
      <c r="K15" s="5" t="s">
        <v>33</v>
      </c>
      <c r="L15" s="5" t="s">
        <v>34</v>
      </c>
      <c r="M15" s="5" t="s">
        <v>35</v>
      </c>
      <c r="N15" s="5" t="s">
        <v>40</v>
      </c>
      <c r="O15" s="5" t="s">
        <v>41</v>
      </c>
      <c r="P15" s="15">
        <v>3741300</v>
      </c>
      <c r="Q15" s="13"/>
      <c r="R15" s="13"/>
      <c r="S15" s="13"/>
      <c r="T15" s="13"/>
      <c r="U15" s="13"/>
      <c r="V15" s="13"/>
      <c r="W15" s="13"/>
      <c r="X15" s="13"/>
      <c r="Y15" s="13">
        <v>3741300</v>
      </c>
      <c r="Z15" s="13"/>
      <c r="AA15" s="13"/>
      <c r="AB15" s="13"/>
      <c r="AC15" s="4">
        <f t="shared" si="0"/>
        <v>3741300</v>
      </c>
    </row>
    <row r="16" spans="3:29" ht="38.25" x14ac:dyDescent="0.25">
      <c r="C16" s="5" t="s">
        <v>27</v>
      </c>
      <c r="D16" s="5" t="s">
        <v>28</v>
      </c>
      <c r="E16" s="5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5" t="s">
        <v>32</v>
      </c>
      <c r="K16" s="5" t="s">
        <v>33</v>
      </c>
      <c r="L16" s="5" t="s">
        <v>34</v>
      </c>
      <c r="M16" s="5" t="s">
        <v>35</v>
      </c>
      <c r="N16" s="5" t="s">
        <v>42</v>
      </c>
      <c r="O16" s="5" t="s">
        <v>43</v>
      </c>
      <c r="P16" s="13">
        <v>2934100</v>
      </c>
      <c r="Q16" s="13"/>
      <c r="R16" s="13"/>
      <c r="S16" s="13"/>
      <c r="T16" s="13"/>
      <c r="U16" s="13"/>
      <c r="V16" s="13"/>
      <c r="W16" s="13"/>
      <c r="X16" s="13"/>
      <c r="Y16" s="13">
        <v>2934100</v>
      </c>
      <c r="Z16" s="13"/>
      <c r="AA16" s="13"/>
      <c r="AB16" s="13"/>
      <c r="AC16" s="4">
        <f t="shared" si="0"/>
        <v>2934100</v>
      </c>
    </row>
    <row r="17" spans="3:29" ht="38.25" x14ac:dyDescent="0.25">
      <c r="C17" s="5" t="s">
        <v>27</v>
      </c>
      <c r="D17" s="5" t="s">
        <v>28</v>
      </c>
      <c r="E17" s="5" t="s">
        <v>27</v>
      </c>
      <c r="F17" s="5" t="s">
        <v>28</v>
      </c>
      <c r="G17" s="5" t="s">
        <v>29</v>
      </c>
      <c r="H17" s="5" t="s">
        <v>30</v>
      </c>
      <c r="I17" s="5" t="s">
        <v>31</v>
      </c>
      <c r="J17" s="5" t="s">
        <v>32</v>
      </c>
      <c r="K17" s="5" t="s">
        <v>33</v>
      </c>
      <c r="L17" s="5" t="s">
        <v>34</v>
      </c>
      <c r="M17" s="5" t="s">
        <v>35</v>
      </c>
      <c r="N17" s="5" t="s">
        <v>44</v>
      </c>
      <c r="O17" s="5" t="s">
        <v>45</v>
      </c>
      <c r="P17" s="15">
        <v>3385871000</v>
      </c>
      <c r="Q17" s="13"/>
      <c r="R17" s="13"/>
      <c r="S17" s="13"/>
      <c r="T17" s="13"/>
      <c r="U17" s="16">
        <v>902176800</v>
      </c>
      <c r="V17" s="16"/>
      <c r="W17" s="17"/>
      <c r="X17" s="17">
        <v>1202902400</v>
      </c>
      <c r="Y17" s="17"/>
      <c r="Z17" s="17">
        <v>1280791800</v>
      </c>
      <c r="AA17" s="13"/>
      <c r="AB17" s="13"/>
      <c r="AC17" s="4">
        <f t="shared" si="0"/>
        <v>3385871000</v>
      </c>
    </row>
    <row r="18" spans="3:29" ht="51" x14ac:dyDescent="0.25">
      <c r="C18" s="5" t="s">
        <v>27</v>
      </c>
      <c r="D18" s="5" t="s">
        <v>28</v>
      </c>
      <c r="E18" s="5" t="s">
        <v>27</v>
      </c>
      <c r="F18" s="5" t="s">
        <v>28</v>
      </c>
      <c r="G18" s="5" t="s">
        <v>29</v>
      </c>
      <c r="H18" s="5" t="s">
        <v>30</v>
      </c>
      <c r="I18" s="5" t="s">
        <v>31</v>
      </c>
      <c r="J18" s="5" t="s">
        <v>32</v>
      </c>
      <c r="K18" s="5" t="s">
        <v>33</v>
      </c>
      <c r="L18" s="5" t="s">
        <v>34</v>
      </c>
      <c r="M18" s="5" t="s">
        <v>109</v>
      </c>
      <c r="N18" s="5" t="s">
        <v>61</v>
      </c>
      <c r="O18" s="5" t="s">
        <v>62</v>
      </c>
      <c r="P18" s="15">
        <v>82080200</v>
      </c>
      <c r="Q18" s="13">
        <v>0</v>
      </c>
      <c r="R18" s="13">
        <v>0</v>
      </c>
      <c r="S18" s="13">
        <v>0</v>
      </c>
      <c r="T18" s="13">
        <v>0</v>
      </c>
      <c r="U18" s="13">
        <v>82080200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4">
        <f t="shared" si="0"/>
        <v>82080200</v>
      </c>
    </row>
    <row r="19" spans="3:29" ht="51" x14ac:dyDescent="0.25">
      <c r="C19" s="5" t="s">
        <v>27</v>
      </c>
      <c r="D19" s="5" t="s">
        <v>28</v>
      </c>
      <c r="E19" s="5" t="s">
        <v>27</v>
      </c>
      <c r="F19" s="5" t="s">
        <v>28</v>
      </c>
      <c r="G19" s="5" t="s">
        <v>29</v>
      </c>
      <c r="H19" s="5" t="s">
        <v>30</v>
      </c>
      <c r="I19" s="5" t="s">
        <v>31</v>
      </c>
      <c r="J19" s="5" t="s">
        <v>32</v>
      </c>
      <c r="K19" s="5" t="s">
        <v>33</v>
      </c>
      <c r="L19" s="5" t="s">
        <v>34</v>
      </c>
      <c r="M19" s="5" t="s">
        <v>109</v>
      </c>
      <c r="N19" s="5" t="s">
        <v>63</v>
      </c>
      <c r="O19" s="5" t="s">
        <v>64</v>
      </c>
      <c r="P19" s="15">
        <v>97600500</v>
      </c>
      <c r="Q19" s="13">
        <v>0</v>
      </c>
      <c r="R19" s="13">
        <v>0</v>
      </c>
      <c r="S19" s="13">
        <v>0</v>
      </c>
      <c r="T19" s="13">
        <v>0</v>
      </c>
      <c r="U19" s="13">
        <v>97600500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4">
        <f t="shared" si="0"/>
        <v>97600500</v>
      </c>
    </row>
    <row r="20" spans="3:29" ht="76.5" x14ac:dyDescent="0.25">
      <c r="C20" s="5" t="s">
        <v>27</v>
      </c>
      <c r="D20" s="5" t="s">
        <v>28</v>
      </c>
      <c r="E20" s="5" t="s">
        <v>27</v>
      </c>
      <c r="F20" s="5" t="s">
        <v>28</v>
      </c>
      <c r="G20" s="5" t="s">
        <v>29</v>
      </c>
      <c r="H20" s="5" t="s">
        <v>30</v>
      </c>
      <c r="I20" s="5" t="s">
        <v>31</v>
      </c>
      <c r="J20" s="5" t="s">
        <v>32</v>
      </c>
      <c r="K20" s="5" t="s">
        <v>33</v>
      </c>
      <c r="L20" s="5" t="s">
        <v>34</v>
      </c>
      <c r="M20" s="5" t="s">
        <v>109</v>
      </c>
      <c r="N20" s="5" t="s">
        <v>69</v>
      </c>
      <c r="O20" s="5" t="s">
        <v>70</v>
      </c>
      <c r="P20" s="15">
        <v>64800000</v>
      </c>
      <c r="Q20" s="13">
        <v>0</v>
      </c>
      <c r="R20" s="13">
        <v>0</v>
      </c>
      <c r="S20" s="13">
        <v>0</v>
      </c>
      <c r="T20" s="13">
        <v>0</v>
      </c>
      <c r="U20" s="13">
        <v>64800000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4">
        <f t="shared" si="0"/>
        <v>64800000</v>
      </c>
    </row>
    <row r="21" spans="3:29" ht="38.25" x14ac:dyDescent="0.25">
      <c r="C21" s="5" t="s">
        <v>27</v>
      </c>
      <c r="D21" s="5" t="s">
        <v>28</v>
      </c>
      <c r="E21" s="5" t="s">
        <v>27</v>
      </c>
      <c r="F21" s="5" t="s">
        <v>28</v>
      </c>
      <c r="G21" s="5" t="s">
        <v>29</v>
      </c>
      <c r="H21" s="5" t="s">
        <v>30</v>
      </c>
      <c r="I21" s="5" t="s">
        <v>31</v>
      </c>
      <c r="J21" s="5" t="s">
        <v>32</v>
      </c>
      <c r="K21" s="5" t="s">
        <v>33</v>
      </c>
      <c r="L21" s="5" t="s">
        <v>34</v>
      </c>
      <c r="M21" s="22" t="s">
        <v>109</v>
      </c>
      <c r="N21" s="22" t="s">
        <v>75</v>
      </c>
      <c r="O21" s="22" t="s">
        <v>76</v>
      </c>
      <c r="P21" s="15">
        <v>100000000</v>
      </c>
      <c r="Q21" s="13">
        <v>0</v>
      </c>
      <c r="R21" s="13">
        <v>0</v>
      </c>
      <c r="S21" s="13">
        <v>0</v>
      </c>
      <c r="T21" s="13">
        <v>0</v>
      </c>
      <c r="U21" s="21">
        <v>100000000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4">
        <f t="shared" si="0"/>
        <v>100000000</v>
      </c>
    </row>
    <row r="22" spans="3:29" ht="38.25" x14ac:dyDescent="0.25">
      <c r="C22" s="5" t="s">
        <v>27</v>
      </c>
      <c r="D22" s="5" t="s">
        <v>28</v>
      </c>
      <c r="E22" s="5" t="s">
        <v>27</v>
      </c>
      <c r="F22" s="5" t="s">
        <v>28</v>
      </c>
      <c r="G22" s="5" t="s">
        <v>29</v>
      </c>
      <c r="H22" s="5" t="s">
        <v>30</v>
      </c>
      <c r="I22" s="5" t="s">
        <v>31</v>
      </c>
      <c r="J22" s="5" t="s">
        <v>32</v>
      </c>
      <c r="K22" s="5" t="s">
        <v>33</v>
      </c>
      <c r="L22" s="5" t="s">
        <v>34</v>
      </c>
      <c r="M22" s="5" t="s">
        <v>109</v>
      </c>
      <c r="N22" s="5" t="s">
        <v>103</v>
      </c>
      <c r="O22" s="5" t="s">
        <v>104</v>
      </c>
      <c r="P22" s="15">
        <v>682500000</v>
      </c>
      <c r="Q22" s="13">
        <v>0</v>
      </c>
      <c r="R22" s="13">
        <v>0</v>
      </c>
      <c r="S22" s="13">
        <v>0</v>
      </c>
      <c r="T22" s="13">
        <v>0</v>
      </c>
      <c r="U22" s="13">
        <v>682500000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4">
        <f t="shared" si="0"/>
        <v>682500000</v>
      </c>
    </row>
    <row r="23" spans="3:29" ht="38.25" x14ac:dyDescent="0.25">
      <c r="C23" s="5" t="s">
        <v>27</v>
      </c>
      <c r="D23" s="5" t="s">
        <v>28</v>
      </c>
      <c r="E23" s="5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5" t="s">
        <v>32</v>
      </c>
      <c r="K23" s="5" t="s">
        <v>33</v>
      </c>
      <c r="L23" s="5" t="s">
        <v>34</v>
      </c>
      <c r="M23" s="5" t="s">
        <v>109</v>
      </c>
      <c r="N23" s="5" t="s">
        <v>107</v>
      </c>
      <c r="O23" s="5" t="s">
        <v>108</v>
      </c>
      <c r="P23" s="15">
        <v>23016000</v>
      </c>
      <c r="Q23" s="13">
        <v>0</v>
      </c>
      <c r="R23" s="13">
        <v>0</v>
      </c>
      <c r="S23" s="13">
        <v>0</v>
      </c>
      <c r="T23" s="13">
        <v>0</v>
      </c>
      <c r="U23" s="13">
        <v>23016000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4">
        <f t="shared" si="0"/>
        <v>23016000</v>
      </c>
    </row>
    <row r="24" spans="3:29" ht="51" x14ac:dyDescent="0.25">
      <c r="C24" s="5" t="s">
        <v>27</v>
      </c>
      <c r="D24" s="5" t="s">
        <v>28</v>
      </c>
      <c r="E24" s="5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5" t="s">
        <v>32</v>
      </c>
      <c r="K24" s="5" t="s">
        <v>33</v>
      </c>
      <c r="L24" s="5" t="s">
        <v>34</v>
      </c>
      <c r="M24" s="14" t="s">
        <v>60</v>
      </c>
      <c r="N24" s="14" t="s">
        <v>61</v>
      </c>
      <c r="O24" s="14" t="s">
        <v>62</v>
      </c>
      <c r="P24" s="15">
        <v>67666500</v>
      </c>
      <c r="Q24" s="13">
        <v>0</v>
      </c>
      <c r="R24" s="13">
        <v>11500500</v>
      </c>
      <c r="S24" s="13">
        <v>20748000</v>
      </c>
      <c r="T24" s="13">
        <v>0</v>
      </c>
      <c r="U24" s="13">
        <v>0</v>
      </c>
      <c r="V24" s="10">
        <v>35418000</v>
      </c>
      <c r="W24" s="13">
        <v>0</v>
      </c>
      <c r="X24" s="10">
        <v>0</v>
      </c>
      <c r="Y24" s="13">
        <v>0</v>
      </c>
      <c r="Z24" s="13">
        <v>0</v>
      </c>
      <c r="AA24" s="13">
        <v>0</v>
      </c>
      <c r="AB24" s="13">
        <v>0</v>
      </c>
      <c r="AC24" s="4">
        <f t="shared" si="0"/>
        <v>67666500</v>
      </c>
    </row>
    <row r="25" spans="3:29" ht="51" x14ac:dyDescent="0.25">
      <c r="C25" s="5" t="s">
        <v>27</v>
      </c>
      <c r="D25" s="5" t="s">
        <v>28</v>
      </c>
      <c r="E25" s="5" t="s">
        <v>27</v>
      </c>
      <c r="F25" s="5" t="s">
        <v>28</v>
      </c>
      <c r="G25" s="5" t="s">
        <v>29</v>
      </c>
      <c r="H25" s="5" t="s">
        <v>30</v>
      </c>
      <c r="I25" s="5" t="s">
        <v>31</v>
      </c>
      <c r="J25" s="5" t="s">
        <v>32</v>
      </c>
      <c r="K25" s="5" t="s">
        <v>33</v>
      </c>
      <c r="L25" s="5" t="s">
        <v>34</v>
      </c>
      <c r="M25" s="14" t="s">
        <v>60</v>
      </c>
      <c r="N25" s="14" t="s">
        <v>63</v>
      </c>
      <c r="O25" s="14" t="s">
        <v>64</v>
      </c>
      <c r="P25" s="15">
        <v>212978200</v>
      </c>
      <c r="Q25" s="13">
        <v>0</v>
      </c>
      <c r="R25" s="13">
        <v>0</v>
      </c>
      <c r="S25" s="13">
        <v>13184500</v>
      </c>
      <c r="T25" s="13">
        <v>13184500</v>
      </c>
      <c r="U25" s="10">
        <v>85134200</v>
      </c>
      <c r="V25" s="10">
        <v>101475000</v>
      </c>
      <c r="W25" s="13">
        <v>0</v>
      </c>
      <c r="X25" s="10"/>
      <c r="Y25" s="10">
        <v>0</v>
      </c>
      <c r="Z25" s="13">
        <v>0</v>
      </c>
      <c r="AA25" s="13">
        <v>0</v>
      </c>
      <c r="AB25" s="13">
        <v>0</v>
      </c>
      <c r="AC25" s="4">
        <f t="shared" si="0"/>
        <v>212978200</v>
      </c>
    </row>
    <row r="26" spans="3:29" ht="51" x14ac:dyDescent="0.25">
      <c r="C26" s="5" t="s">
        <v>27</v>
      </c>
      <c r="D26" s="5" t="s">
        <v>28</v>
      </c>
      <c r="E26" s="5" t="s">
        <v>27</v>
      </c>
      <c r="F26" s="5" t="s">
        <v>28</v>
      </c>
      <c r="G26" s="5" t="s">
        <v>29</v>
      </c>
      <c r="H26" s="5" t="s">
        <v>30</v>
      </c>
      <c r="I26" s="5" t="s">
        <v>31</v>
      </c>
      <c r="J26" s="5" t="s">
        <v>32</v>
      </c>
      <c r="K26" s="5" t="s">
        <v>33</v>
      </c>
      <c r="L26" s="5" t="s">
        <v>34</v>
      </c>
      <c r="M26" s="14" t="s">
        <v>60</v>
      </c>
      <c r="N26" s="14" t="s">
        <v>50</v>
      </c>
      <c r="O26" s="14" t="s">
        <v>51</v>
      </c>
      <c r="P26" s="15">
        <v>164893200</v>
      </c>
      <c r="Q26" s="13">
        <v>0</v>
      </c>
      <c r="R26" s="13">
        <v>0</v>
      </c>
      <c r="S26" s="13">
        <v>0</v>
      </c>
      <c r="T26" s="13">
        <v>37605200</v>
      </c>
      <c r="U26" s="10">
        <v>15288000</v>
      </c>
      <c r="V26" s="13">
        <v>112000000</v>
      </c>
      <c r="W26" s="13">
        <v>0</v>
      </c>
      <c r="X26" s="13">
        <v>0</v>
      </c>
      <c r="Y26" s="10">
        <v>0</v>
      </c>
      <c r="Z26" s="13">
        <v>0</v>
      </c>
      <c r="AA26" s="13">
        <v>0</v>
      </c>
      <c r="AB26" s="13">
        <v>0</v>
      </c>
      <c r="AC26" s="4">
        <f t="shared" si="0"/>
        <v>164893200</v>
      </c>
    </row>
    <row r="27" spans="3:29" ht="38.25" x14ac:dyDescent="0.25">
      <c r="C27" s="5" t="s">
        <v>27</v>
      </c>
      <c r="D27" s="5" t="s">
        <v>28</v>
      </c>
      <c r="E27" s="5" t="s">
        <v>27</v>
      </c>
      <c r="F27" s="5" t="s">
        <v>28</v>
      </c>
      <c r="G27" s="5" t="s">
        <v>29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4" t="s">
        <v>60</v>
      </c>
      <c r="N27" s="14" t="s">
        <v>65</v>
      </c>
      <c r="O27" s="14" t="s">
        <v>66</v>
      </c>
      <c r="P27" s="15">
        <v>187200000</v>
      </c>
      <c r="Q27" s="13">
        <v>0</v>
      </c>
      <c r="R27" s="13">
        <v>0</v>
      </c>
      <c r="S27" s="13">
        <v>0</v>
      </c>
      <c r="T27" s="13">
        <v>59400000</v>
      </c>
      <c r="U27" s="13">
        <v>0</v>
      </c>
      <c r="V27" s="10">
        <v>127800000</v>
      </c>
      <c r="W27" s="13">
        <v>0</v>
      </c>
      <c r="X27" s="13">
        <v>0</v>
      </c>
      <c r="Y27" s="10">
        <v>0</v>
      </c>
      <c r="Z27" s="13">
        <v>0</v>
      </c>
      <c r="AA27" s="13">
        <v>0</v>
      </c>
      <c r="AB27" s="13">
        <v>0</v>
      </c>
      <c r="AC27" s="4">
        <f t="shared" si="0"/>
        <v>187200000</v>
      </c>
    </row>
    <row r="28" spans="3:29" ht="38.25" x14ac:dyDescent="0.25">
      <c r="C28" s="5" t="s">
        <v>27</v>
      </c>
      <c r="D28" s="5" t="s">
        <v>28</v>
      </c>
      <c r="E28" s="5" t="s">
        <v>27</v>
      </c>
      <c r="F28" s="5" t="s">
        <v>28</v>
      </c>
      <c r="G28" s="5" t="s">
        <v>29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5" t="s">
        <v>60</v>
      </c>
      <c r="N28" s="5" t="s">
        <v>67</v>
      </c>
      <c r="O28" s="5" t="s">
        <v>68</v>
      </c>
      <c r="P28" s="15">
        <v>21525000</v>
      </c>
      <c r="Q28" s="13">
        <v>0</v>
      </c>
      <c r="R28" s="13">
        <v>0</v>
      </c>
      <c r="S28" s="13">
        <v>0</v>
      </c>
      <c r="T28" s="13">
        <v>21525000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4">
        <f t="shared" si="0"/>
        <v>21525000</v>
      </c>
    </row>
    <row r="29" spans="3:29" ht="76.5" x14ac:dyDescent="0.25">
      <c r="C29" s="5" t="s">
        <v>27</v>
      </c>
      <c r="D29" s="5" t="s">
        <v>28</v>
      </c>
      <c r="E29" s="5" t="s">
        <v>27</v>
      </c>
      <c r="F29" s="5" t="s">
        <v>28</v>
      </c>
      <c r="G29" s="5" t="s">
        <v>29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4" t="s">
        <v>60</v>
      </c>
      <c r="N29" s="14" t="s">
        <v>69</v>
      </c>
      <c r="O29" s="14" t="s">
        <v>70</v>
      </c>
      <c r="P29" s="15">
        <v>8000000</v>
      </c>
      <c r="Q29" s="13"/>
      <c r="R29" s="13"/>
      <c r="S29" s="13"/>
      <c r="T29" s="13"/>
      <c r="U29" s="10">
        <v>8000000</v>
      </c>
      <c r="V29" s="13"/>
      <c r="W29" s="13"/>
      <c r="X29" s="13"/>
      <c r="Y29" s="10">
        <v>0</v>
      </c>
      <c r="Z29" s="13"/>
      <c r="AA29" s="13"/>
      <c r="AB29" s="13"/>
      <c r="AC29" s="4">
        <f t="shared" si="0"/>
        <v>8000000</v>
      </c>
    </row>
    <row r="30" spans="3:29" ht="38.25" x14ac:dyDescent="0.25">
      <c r="C30" s="5" t="s">
        <v>27</v>
      </c>
      <c r="D30" s="5" t="s">
        <v>28</v>
      </c>
      <c r="E30" s="5" t="s">
        <v>27</v>
      </c>
      <c r="F30" s="5" t="s">
        <v>28</v>
      </c>
      <c r="G30" s="5" t="s">
        <v>29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4" t="s">
        <v>60</v>
      </c>
      <c r="N30" s="14" t="s">
        <v>71</v>
      </c>
      <c r="O30" s="14" t="s">
        <v>72</v>
      </c>
      <c r="P30" s="15">
        <v>35000000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0">
        <v>35000000</v>
      </c>
      <c r="W30" s="13">
        <v>0</v>
      </c>
      <c r="X30" s="13">
        <v>0</v>
      </c>
      <c r="Y30" s="10">
        <v>0</v>
      </c>
      <c r="Z30" s="13">
        <v>0</v>
      </c>
      <c r="AA30" s="13">
        <v>0</v>
      </c>
      <c r="AB30" s="13">
        <v>0</v>
      </c>
      <c r="AC30" s="4">
        <f t="shared" si="0"/>
        <v>35000000</v>
      </c>
    </row>
    <row r="31" spans="3:29" ht="38.25" x14ac:dyDescent="0.25">
      <c r="C31" s="5" t="s">
        <v>27</v>
      </c>
      <c r="D31" s="5" t="s">
        <v>28</v>
      </c>
      <c r="E31" s="5" t="s">
        <v>27</v>
      </c>
      <c r="F31" s="5" t="s">
        <v>28</v>
      </c>
      <c r="G31" s="5" t="s">
        <v>29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4" t="s">
        <v>60</v>
      </c>
      <c r="N31" s="14" t="s">
        <v>73</v>
      </c>
      <c r="O31" s="14" t="s">
        <v>74</v>
      </c>
      <c r="P31" s="15">
        <v>140000000</v>
      </c>
      <c r="Q31" s="13">
        <v>0</v>
      </c>
      <c r="R31" s="13">
        <v>0</v>
      </c>
      <c r="S31" s="13">
        <v>0</v>
      </c>
      <c r="T31" s="13">
        <v>90000000</v>
      </c>
      <c r="U31" s="13">
        <v>0</v>
      </c>
      <c r="V31" s="10">
        <v>50000000</v>
      </c>
      <c r="W31" s="23"/>
      <c r="X31" s="13">
        <v>0</v>
      </c>
      <c r="Y31" s="10">
        <v>0</v>
      </c>
      <c r="Z31" s="13">
        <v>0</v>
      </c>
      <c r="AA31" s="13">
        <v>0</v>
      </c>
      <c r="AB31" s="13">
        <v>0</v>
      </c>
      <c r="AC31" s="4">
        <f t="shared" si="0"/>
        <v>140000000</v>
      </c>
    </row>
    <row r="32" spans="3:29" ht="38.25" x14ac:dyDescent="0.25">
      <c r="C32" s="5" t="s">
        <v>27</v>
      </c>
      <c r="D32" s="5" t="s">
        <v>28</v>
      </c>
      <c r="E32" s="5" t="s">
        <v>27</v>
      </c>
      <c r="F32" s="5" t="s">
        <v>28</v>
      </c>
      <c r="G32" s="5" t="s">
        <v>29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4" t="s">
        <v>60</v>
      </c>
      <c r="N32" s="14" t="s">
        <v>75</v>
      </c>
      <c r="O32" s="14" t="s">
        <v>76</v>
      </c>
      <c r="P32" s="15">
        <v>124500000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0">
        <v>124500000</v>
      </c>
      <c r="W32" s="23"/>
      <c r="X32" s="13">
        <v>0</v>
      </c>
      <c r="Y32" s="10">
        <v>0</v>
      </c>
      <c r="Z32" s="13">
        <v>0</v>
      </c>
      <c r="AA32" s="13">
        <v>0</v>
      </c>
      <c r="AB32" s="13">
        <v>0</v>
      </c>
      <c r="AC32" s="4">
        <f t="shared" si="0"/>
        <v>124500000</v>
      </c>
    </row>
    <row r="33" spans="3:29" ht="38.25" x14ac:dyDescent="0.25">
      <c r="C33" s="5" t="s">
        <v>27</v>
      </c>
      <c r="D33" s="5" t="s">
        <v>28</v>
      </c>
      <c r="E33" s="5" t="s">
        <v>27</v>
      </c>
      <c r="F33" s="5" t="s">
        <v>28</v>
      </c>
      <c r="G33" s="5" t="s">
        <v>29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4" t="s">
        <v>60</v>
      </c>
      <c r="N33" s="14" t="s">
        <v>77</v>
      </c>
      <c r="O33" s="14" t="s">
        <v>78</v>
      </c>
      <c r="P33" s="15">
        <v>60996600</v>
      </c>
      <c r="Q33" s="13">
        <v>0</v>
      </c>
      <c r="R33" s="13">
        <v>0</v>
      </c>
      <c r="S33" s="13">
        <v>0</v>
      </c>
      <c r="T33" s="13">
        <v>39996600</v>
      </c>
      <c r="U33" s="13">
        <v>0</v>
      </c>
      <c r="V33" s="10">
        <v>21000000</v>
      </c>
      <c r="W33" s="13">
        <v>0</v>
      </c>
      <c r="X33" s="13">
        <v>0</v>
      </c>
      <c r="Y33" s="10">
        <v>0</v>
      </c>
      <c r="Z33" s="13">
        <v>0</v>
      </c>
      <c r="AA33" s="13">
        <v>0</v>
      </c>
      <c r="AB33" s="13">
        <v>0</v>
      </c>
      <c r="AC33" s="4">
        <f t="shared" si="0"/>
        <v>60996600</v>
      </c>
    </row>
    <row r="34" spans="3:29" ht="38.25" x14ac:dyDescent="0.25">
      <c r="C34" s="5" t="s">
        <v>27</v>
      </c>
      <c r="D34" s="5" t="s">
        <v>28</v>
      </c>
      <c r="E34" s="5" t="s">
        <v>27</v>
      </c>
      <c r="F34" s="5" t="s">
        <v>28</v>
      </c>
      <c r="G34" s="5" t="s">
        <v>29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4" t="s">
        <v>60</v>
      </c>
      <c r="N34" s="14" t="s">
        <v>79</v>
      </c>
      <c r="O34" s="14" t="s">
        <v>80</v>
      </c>
      <c r="P34" s="15">
        <v>61560000</v>
      </c>
      <c r="Q34" s="13">
        <v>0</v>
      </c>
      <c r="R34" s="13">
        <v>0</v>
      </c>
      <c r="S34" s="13">
        <v>0</v>
      </c>
      <c r="T34" s="13">
        <v>41040000</v>
      </c>
      <c r="U34" s="13">
        <v>0</v>
      </c>
      <c r="V34" s="10">
        <v>20520000</v>
      </c>
      <c r="X34" s="13">
        <v>0</v>
      </c>
      <c r="Y34" s="10">
        <v>0</v>
      </c>
      <c r="Z34" s="13">
        <v>0</v>
      </c>
      <c r="AA34" s="13">
        <v>0</v>
      </c>
      <c r="AB34" s="13">
        <v>0</v>
      </c>
      <c r="AC34" s="4">
        <f t="shared" si="0"/>
        <v>61560000</v>
      </c>
    </row>
    <row r="35" spans="3:29" ht="38.25" x14ac:dyDescent="0.25">
      <c r="C35" s="5" t="s">
        <v>27</v>
      </c>
      <c r="D35" s="5" t="s">
        <v>28</v>
      </c>
      <c r="E35" s="5" t="s">
        <v>27</v>
      </c>
      <c r="F35" s="5" t="s">
        <v>28</v>
      </c>
      <c r="G35" s="5" t="s">
        <v>29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5" t="s">
        <v>60</v>
      </c>
      <c r="N35" s="5" t="s">
        <v>81</v>
      </c>
      <c r="O35" s="5" t="s">
        <v>82</v>
      </c>
      <c r="P35" s="15">
        <v>24168800</v>
      </c>
      <c r="Q35" s="13">
        <v>0</v>
      </c>
      <c r="R35" s="13">
        <v>0</v>
      </c>
      <c r="S35" s="13">
        <v>0</v>
      </c>
      <c r="T35" s="13">
        <v>24168800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4">
        <f t="shared" si="0"/>
        <v>24168800</v>
      </c>
    </row>
    <row r="36" spans="3:29" ht="38.25" x14ac:dyDescent="0.25">
      <c r="C36" s="5" t="s">
        <v>27</v>
      </c>
      <c r="D36" s="5" t="s">
        <v>28</v>
      </c>
      <c r="E36" s="5" t="s">
        <v>27</v>
      </c>
      <c r="F36" s="5" t="s">
        <v>28</v>
      </c>
      <c r="G36" s="5" t="s">
        <v>29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5" t="s">
        <v>60</v>
      </c>
      <c r="N36" s="5" t="s">
        <v>83</v>
      </c>
      <c r="O36" s="5" t="s">
        <v>84</v>
      </c>
      <c r="P36" s="15">
        <v>11100000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11100000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4">
        <f t="shared" si="0"/>
        <v>11100000</v>
      </c>
    </row>
    <row r="37" spans="3:29" ht="76.5" x14ac:dyDescent="0.25">
      <c r="C37" s="5" t="s">
        <v>27</v>
      </c>
      <c r="D37" s="5" t="s">
        <v>28</v>
      </c>
      <c r="E37" s="5" t="s">
        <v>27</v>
      </c>
      <c r="F37" s="5" t="s">
        <v>28</v>
      </c>
      <c r="G37" s="5" t="s">
        <v>29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5" t="s">
        <v>121</v>
      </c>
      <c r="N37" s="5" t="s">
        <v>122</v>
      </c>
      <c r="O37" s="5" t="s">
        <v>123</v>
      </c>
      <c r="P37" s="15">
        <v>2193083000</v>
      </c>
      <c r="Q37" s="13">
        <v>0</v>
      </c>
      <c r="R37" s="13">
        <v>0</v>
      </c>
      <c r="S37" s="13">
        <v>0</v>
      </c>
      <c r="T37" s="13"/>
      <c r="U37" s="13">
        <v>2193083000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4">
        <f t="shared" si="0"/>
        <v>2193083000</v>
      </c>
    </row>
    <row r="38" spans="3:29" ht="51" x14ac:dyDescent="0.25">
      <c r="C38" s="5" t="s">
        <v>27</v>
      </c>
      <c r="D38" s="5" t="s">
        <v>28</v>
      </c>
      <c r="E38" s="5" t="s">
        <v>27</v>
      </c>
      <c r="F38" s="5" t="s">
        <v>28</v>
      </c>
      <c r="G38" s="5" t="s">
        <v>29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5" t="s">
        <v>121</v>
      </c>
      <c r="N38" s="5" t="s">
        <v>50</v>
      </c>
      <c r="O38" s="5" t="s">
        <v>51</v>
      </c>
      <c r="P38" s="15">
        <v>556457300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556457300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4">
        <f t="shared" si="0"/>
        <v>556457300</v>
      </c>
    </row>
    <row r="39" spans="3:29" ht="38.25" x14ac:dyDescent="0.25">
      <c r="C39" s="5" t="s">
        <v>27</v>
      </c>
      <c r="D39" s="5" t="s">
        <v>28</v>
      </c>
      <c r="E39" s="5" t="s">
        <v>27</v>
      </c>
      <c r="F39" s="5" t="s">
        <v>28</v>
      </c>
      <c r="G39" s="5" t="s">
        <v>29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5" t="s">
        <v>121</v>
      </c>
      <c r="N39" s="5" t="s">
        <v>124</v>
      </c>
      <c r="O39" s="5" t="s">
        <v>125</v>
      </c>
      <c r="P39" s="15">
        <v>1014790000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1014790000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4">
        <f t="shared" si="0"/>
        <v>1014790000</v>
      </c>
    </row>
    <row r="40" spans="3:29" ht="38.25" x14ac:dyDescent="0.25">
      <c r="C40" s="5" t="s">
        <v>27</v>
      </c>
      <c r="D40" s="5" t="s">
        <v>28</v>
      </c>
      <c r="E40" s="5" t="s">
        <v>27</v>
      </c>
      <c r="F40" s="5" t="s">
        <v>28</v>
      </c>
      <c r="G40" s="5" t="s">
        <v>29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5" t="s">
        <v>121</v>
      </c>
      <c r="N40" s="5" t="s">
        <v>126</v>
      </c>
      <c r="O40" s="5" t="s">
        <v>127</v>
      </c>
      <c r="P40" s="15">
        <v>618000000</v>
      </c>
      <c r="Q40" s="13"/>
      <c r="R40" s="13"/>
      <c r="S40" s="13"/>
      <c r="T40" s="13"/>
      <c r="U40" s="13"/>
      <c r="V40" s="13">
        <v>618000000</v>
      </c>
      <c r="W40" s="13"/>
      <c r="X40" s="13"/>
      <c r="Y40" s="13"/>
      <c r="Z40" s="13"/>
      <c r="AA40" s="13"/>
      <c r="AB40" s="13"/>
      <c r="AC40" s="4">
        <f t="shared" si="0"/>
        <v>618000000</v>
      </c>
    </row>
    <row r="41" spans="3:29" ht="38.25" x14ac:dyDescent="0.25">
      <c r="C41" s="5" t="s">
        <v>27</v>
      </c>
      <c r="D41" s="5" t="s">
        <v>28</v>
      </c>
      <c r="E41" s="5" t="s">
        <v>27</v>
      </c>
      <c r="F41" s="5" t="s">
        <v>28</v>
      </c>
      <c r="G41" s="5" t="s">
        <v>29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5" t="s">
        <v>59</v>
      </c>
      <c r="N41" s="5" t="s">
        <v>38</v>
      </c>
      <c r="O41" s="5" t="s">
        <v>39</v>
      </c>
      <c r="P41" s="15">
        <v>3658152280</v>
      </c>
      <c r="Q41" s="13">
        <v>0</v>
      </c>
      <c r="R41" s="13">
        <v>142968000</v>
      </c>
      <c r="S41" s="13">
        <v>0</v>
      </c>
      <c r="T41" s="13"/>
      <c r="U41" s="13">
        <v>3515184280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4">
        <f t="shared" si="0"/>
        <v>3658152280</v>
      </c>
    </row>
    <row r="42" spans="3:29" ht="51" x14ac:dyDescent="0.25">
      <c r="C42" s="5" t="s">
        <v>27</v>
      </c>
      <c r="D42" s="5" t="s">
        <v>28</v>
      </c>
      <c r="E42" s="5" t="s">
        <v>27</v>
      </c>
      <c r="F42" s="5" t="s">
        <v>28</v>
      </c>
      <c r="G42" s="5" t="s">
        <v>29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5" t="s">
        <v>112</v>
      </c>
      <c r="N42" s="5" t="s">
        <v>50</v>
      </c>
      <c r="O42" s="5" t="s">
        <v>51</v>
      </c>
      <c r="P42" s="15">
        <v>11981970000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/>
      <c r="Y42" s="13">
        <v>11981970000</v>
      </c>
      <c r="Z42" s="13">
        <v>0</v>
      </c>
      <c r="AA42" s="13">
        <v>0</v>
      </c>
      <c r="AB42" s="13">
        <v>0</v>
      </c>
      <c r="AC42" s="4">
        <f t="shared" si="0"/>
        <v>11981970000</v>
      </c>
    </row>
    <row r="43" spans="3:29" ht="76.5" x14ac:dyDescent="0.25">
      <c r="C43" s="5" t="s">
        <v>27</v>
      </c>
      <c r="D43" s="5" t="s">
        <v>28</v>
      </c>
      <c r="E43" s="5" t="s">
        <v>27</v>
      </c>
      <c r="F43" s="5" t="s">
        <v>28</v>
      </c>
      <c r="G43" s="5" t="s">
        <v>29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5" t="s">
        <v>98</v>
      </c>
      <c r="N43" s="5" t="s">
        <v>61</v>
      </c>
      <c r="O43" s="5" t="s">
        <v>62</v>
      </c>
      <c r="P43" s="15">
        <v>105758600</v>
      </c>
      <c r="Q43" s="13">
        <v>0</v>
      </c>
      <c r="R43" s="13">
        <v>18343700</v>
      </c>
      <c r="S43" s="13">
        <v>0</v>
      </c>
      <c r="T43" s="13">
        <v>0</v>
      </c>
      <c r="U43" s="13">
        <v>87414900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4">
        <f t="shared" si="0"/>
        <v>105758600</v>
      </c>
    </row>
    <row r="44" spans="3:29" ht="76.5" x14ac:dyDescent="0.25">
      <c r="C44" s="5" t="s">
        <v>27</v>
      </c>
      <c r="D44" s="5" t="s">
        <v>28</v>
      </c>
      <c r="E44" s="5" t="s">
        <v>27</v>
      </c>
      <c r="F44" s="5" t="s">
        <v>28</v>
      </c>
      <c r="G44" s="5" t="s">
        <v>29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5" t="s">
        <v>98</v>
      </c>
      <c r="N44" s="5" t="s">
        <v>99</v>
      </c>
      <c r="O44" s="5" t="s">
        <v>100</v>
      </c>
      <c r="P44" s="15">
        <v>49982400</v>
      </c>
      <c r="Q44" s="13">
        <v>0</v>
      </c>
      <c r="R44" s="13">
        <v>0</v>
      </c>
      <c r="S44" s="13">
        <v>0</v>
      </c>
      <c r="T44" s="13">
        <v>0</v>
      </c>
      <c r="U44" s="13">
        <v>49982400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4">
        <f t="shared" si="0"/>
        <v>49982400</v>
      </c>
    </row>
    <row r="45" spans="3:29" ht="76.5" x14ac:dyDescent="0.25">
      <c r="C45" s="5" t="s">
        <v>27</v>
      </c>
      <c r="D45" s="5" t="s">
        <v>28</v>
      </c>
      <c r="E45" s="5" t="s">
        <v>27</v>
      </c>
      <c r="F45" s="5" t="s">
        <v>28</v>
      </c>
      <c r="G45" s="5" t="s">
        <v>29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5" t="s">
        <v>98</v>
      </c>
      <c r="N45" s="5" t="s">
        <v>63</v>
      </c>
      <c r="O45" s="5" t="s">
        <v>64</v>
      </c>
      <c r="P45" s="15">
        <v>105165000</v>
      </c>
      <c r="Q45" s="13">
        <v>0</v>
      </c>
      <c r="R45" s="13">
        <v>23985000</v>
      </c>
      <c r="S45" s="13">
        <v>0</v>
      </c>
      <c r="T45" s="13">
        <v>0</v>
      </c>
      <c r="U45" s="13">
        <v>81180000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4">
        <f t="shared" si="0"/>
        <v>105165000</v>
      </c>
    </row>
    <row r="46" spans="3:29" ht="76.5" x14ac:dyDescent="0.25">
      <c r="C46" s="5" t="s">
        <v>27</v>
      </c>
      <c r="D46" s="5" t="s">
        <v>28</v>
      </c>
      <c r="E46" s="5" t="s">
        <v>27</v>
      </c>
      <c r="F46" s="5" t="s">
        <v>28</v>
      </c>
      <c r="G46" s="5" t="s">
        <v>29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5" t="s">
        <v>98</v>
      </c>
      <c r="N46" s="5" t="s">
        <v>101</v>
      </c>
      <c r="O46" s="5" t="s">
        <v>102</v>
      </c>
      <c r="P46" s="15">
        <v>206424000</v>
      </c>
      <c r="Q46" s="13">
        <v>0</v>
      </c>
      <c r="R46" s="13">
        <v>0</v>
      </c>
      <c r="S46" s="13">
        <v>0</v>
      </c>
      <c r="T46" s="13">
        <v>0</v>
      </c>
      <c r="U46" s="13">
        <v>206424000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4">
        <f t="shared" si="0"/>
        <v>206424000</v>
      </c>
    </row>
    <row r="47" spans="3:29" ht="76.5" x14ac:dyDescent="0.25">
      <c r="C47" s="5" t="s">
        <v>27</v>
      </c>
      <c r="D47" s="5" t="s">
        <v>28</v>
      </c>
      <c r="E47" s="5" t="s">
        <v>27</v>
      </c>
      <c r="F47" s="5" t="s">
        <v>28</v>
      </c>
      <c r="G47" s="5" t="s">
        <v>29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5" t="s">
        <v>98</v>
      </c>
      <c r="N47" s="5" t="s">
        <v>69</v>
      </c>
      <c r="O47" s="5" t="s">
        <v>70</v>
      </c>
      <c r="P47" s="15">
        <v>196000000</v>
      </c>
      <c r="Q47" s="13">
        <v>0</v>
      </c>
      <c r="R47" s="13">
        <v>21600000</v>
      </c>
      <c r="S47" s="13">
        <v>0</v>
      </c>
      <c r="T47" s="13">
        <v>0</v>
      </c>
      <c r="U47" s="13">
        <v>174400000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4">
        <f t="shared" si="0"/>
        <v>196000000</v>
      </c>
    </row>
    <row r="48" spans="3:29" ht="76.5" x14ac:dyDescent="0.25">
      <c r="C48" s="5" t="s">
        <v>27</v>
      </c>
      <c r="D48" s="5" t="s">
        <v>28</v>
      </c>
      <c r="E48" s="5" t="s">
        <v>27</v>
      </c>
      <c r="F48" s="5" t="s">
        <v>28</v>
      </c>
      <c r="G48" s="5" t="s">
        <v>29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5" t="s">
        <v>98</v>
      </c>
      <c r="N48" s="5" t="s">
        <v>103</v>
      </c>
      <c r="O48" s="5" t="s">
        <v>104</v>
      </c>
      <c r="P48" s="15">
        <v>633500000</v>
      </c>
      <c r="Q48" s="13">
        <v>0</v>
      </c>
      <c r="R48" s="13">
        <v>136500000</v>
      </c>
      <c r="S48" s="13">
        <v>0</v>
      </c>
      <c r="T48" s="13">
        <v>0</v>
      </c>
      <c r="U48" s="13">
        <v>497000000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4">
        <f t="shared" si="0"/>
        <v>633500000</v>
      </c>
    </row>
    <row r="49" spans="3:29" ht="76.5" x14ac:dyDescent="0.25">
      <c r="C49" s="5" t="s">
        <v>27</v>
      </c>
      <c r="D49" s="5" t="s">
        <v>28</v>
      </c>
      <c r="E49" s="5" t="s">
        <v>27</v>
      </c>
      <c r="F49" s="5" t="s">
        <v>28</v>
      </c>
      <c r="G49" s="5" t="s">
        <v>29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5" t="s">
        <v>98</v>
      </c>
      <c r="N49" s="5" t="s">
        <v>105</v>
      </c>
      <c r="O49" s="5" t="s">
        <v>106</v>
      </c>
      <c r="P49" s="15">
        <v>48000000</v>
      </c>
      <c r="Q49" s="13">
        <v>0</v>
      </c>
      <c r="R49" s="13">
        <v>0</v>
      </c>
      <c r="S49" s="13">
        <v>0</v>
      </c>
      <c r="T49" s="13">
        <v>0</v>
      </c>
      <c r="U49" s="13">
        <v>48000000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4">
        <f t="shared" si="0"/>
        <v>48000000</v>
      </c>
    </row>
    <row r="50" spans="3:29" ht="76.5" x14ac:dyDescent="0.25">
      <c r="C50" s="5" t="s">
        <v>27</v>
      </c>
      <c r="D50" s="5" t="s">
        <v>28</v>
      </c>
      <c r="E50" s="5" t="s">
        <v>27</v>
      </c>
      <c r="F50" s="5" t="s">
        <v>28</v>
      </c>
      <c r="G50" s="5" t="s">
        <v>29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5" t="s">
        <v>98</v>
      </c>
      <c r="N50" s="5" t="s">
        <v>107</v>
      </c>
      <c r="O50" s="5" t="s">
        <v>108</v>
      </c>
      <c r="P50" s="15">
        <v>35180000</v>
      </c>
      <c r="Q50" s="13">
        <v>0</v>
      </c>
      <c r="R50" s="13">
        <v>7036000</v>
      </c>
      <c r="S50" s="13">
        <v>0</v>
      </c>
      <c r="T50" s="13">
        <v>0</v>
      </c>
      <c r="U50" s="13">
        <v>28144000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4">
        <f t="shared" si="0"/>
        <v>35180000</v>
      </c>
    </row>
    <row r="51" spans="3:29" ht="51" x14ac:dyDescent="0.25">
      <c r="C51" s="5" t="s">
        <v>27</v>
      </c>
      <c r="D51" s="5" t="s">
        <v>28</v>
      </c>
      <c r="E51" s="5" t="s">
        <v>27</v>
      </c>
      <c r="F51" s="5" t="s">
        <v>28</v>
      </c>
      <c r="G51" s="5" t="s">
        <v>29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5" t="s">
        <v>110</v>
      </c>
      <c r="N51" s="5" t="s">
        <v>61</v>
      </c>
      <c r="O51" s="5" t="s">
        <v>62</v>
      </c>
      <c r="P51" s="15">
        <v>4870800</v>
      </c>
      <c r="Q51" s="13">
        <v>0</v>
      </c>
      <c r="R51" s="13">
        <v>4870800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4">
        <f t="shared" si="0"/>
        <v>4870800</v>
      </c>
    </row>
    <row r="52" spans="3:29" ht="51" x14ac:dyDescent="0.25">
      <c r="C52" s="5" t="s">
        <v>27</v>
      </c>
      <c r="D52" s="5" t="s">
        <v>28</v>
      </c>
      <c r="E52" s="5" t="s">
        <v>27</v>
      </c>
      <c r="F52" s="5" t="s">
        <v>28</v>
      </c>
      <c r="G52" s="5" t="s">
        <v>29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5" t="s">
        <v>110</v>
      </c>
      <c r="N52" s="5" t="s">
        <v>101</v>
      </c>
      <c r="O52" s="5" t="s">
        <v>102</v>
      </c>
      <c r="P52" s="15">
        <v>48708000</v>
      </c>
      <c r="Q52" s="13">
        <v>0</v>
      </c>
      <c r="R52" s="13">
        <v>48708000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4">
        <f t="shared" si="0"/>
        <v>48708000</v>
      </c>
    </row>
    <row r="53" spans="3:29" ht="76.5" x14ac:dyDescent="0.25">
      <c r="C53" s="5" t="s">
        <v>27</v>
      </c>
      <c r="D53" s="5" t="s">
        <v>28</v>
      </c>
      <c r="E53" s="5" t="s">
        <v>27</v>
      </c>
      <c r="F53" s="5" t="s">
        <v>28</v>
      </c>
      <c r="G53" s="5" t="s">
        <v>29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5" t="s">
        <v>110</v>
      </c>
      <c r="N53" s="5" t="s">
        <v>69</v>
      </c>
      <c r="O53" s="5" t="s">
        <v>70</v>
      </c>
      <c r="P53" s="15">
        <v>21600000</v>
      </c>
      <c r="Q53" s="13">
        <v>0</v>
      </c>
      <c r="R53" s="13">
        <v>21600000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4">
        <f t="shared" si="0"/>
        <v>21600000</v>
      </c>
    </row>
    <row r="54" spans="3:29" ht="51" x14ac:dyDescent="0.25">
      <c r="C54" s="5" t="s">
        <v>27</v>
      </c>
      <c r="D54" s="5" t="s">
        <v>28</v>
      </c>
      <c r="E54" s="5" t="s">
        <v>27</v>
      </c>
      <c r="F54" s="5" t="s">
        <v>28</v>
      </c>
      <c r="G54" s="5" t="s">
        <v>29</v>
      </c>
      <c r="H54" s="5" t="s">
        <v>30</v>
      </c>
      <c r="I54" s="5" t="s">
        <v>31</v>
      </c>
      <c r="J54" s="5" t="s">
        <v>32</v>
      </c>
      <c r="K54" s="5" t="s">
        <v>33</v>
      </c>
      <c r="L54" s="5" t="s">
        <v>34</v>
      </c>
      <c r="M54" s="5" t="s">
        <v>116</v>
      </c>
      <c r="N54" s="5" t="s">
        <v>117</v>
      </c>
      <c r="O54" s="5" t="s">
        <v>118</v>
      </c>
      <c r="P54" s="15">
        <v>1617500000</v>
      </c>
      <c r="Q54" s="13">
        <v>0</v>
      </c>
      <c r="R54" s="13">
        <v>0</v>
      </c>
      <c r="S54" s="13">
        <v>0</v>
      </c>
      <c r="T54" s="13">
        <v>404375000</v>
      </c>
      <c r="U54" s="13">
        <v>0</v>
      </c>
      <c r="V54" s="13">
        <v>0</v>
      </c>
      <c r="W54" s="13">
        <v>404375000</v>
      </c>
      <c r="X54" s="13">
        <v>0</v>
      </c>
      <c r="Y54" s="13">
        <v>0</v>
      </c>
      <c r="Z54" s="13">
        <v>404375000</v>
      </c>
      <c r="AA54" s="13">
        <v>0</v>
      </c>
      <c r="AB54" s="13">
        <v>404375000</v>
      </c>
      <c r="AC54" s="4">
        <f t="shared" si="0"/>
        <v>1617500000</v>
      </c>
    </row>
    <row r="55" spans="3:29" ht="38.25" x14ac:dyDescent="0.25">
      <c r="C55" s="5" t="s">
        <v>27</v>
      </c>
      <c r="D55" s="5" t="s">
        <v>28</v>
      </c>
      <c r="E55" s="5" t="s">
        <v>27</v>
      </c>
      <c r="F55" s="5" t="s">
        <v>28</v>
      </c>
      <c r="G55" s="5" t="s">
        <v>29</v>
      </c>
      <c r="H55" s="5" t="s">
        <v>30</v>
      </c>
      <c r="I55" s="5" t="s">
        <v>31</v>
      </c>
      <c r="J55" s="5" t="s">
        <v>32</v>
      </c>
      <c r="K55" s="5" t="s">
        <v>33</v>
      </c>
      <c r="L55" s="5" t="s">
        <v>34</v>
      </c>
      <c r="M55" s="14" t="s">
        <v>116</v>
      </c>
      <c r="N55" s="14" t="s">
        <v>119</v>
      </c>
      <c r="O55" s="14" t="s">
        <v>120</v>
      </c>
      <c r="P55" s="15">
        <v>9993600000</v>
      </c>
      <c r="Q55" s="13">
        <v>0</v>
      </c>
      <c r="R55" s="13">
        <v>0</v>
      </c>
      <c r="S55" s="13">
        <v>0</v>
      </c>
      <c r="T55" s="13">
        <v>0</v>
      </c>
      <c r="U55" s="10">
        <v>958500000</v>
      </c>
      <c r="V55" s="4">
        <v>0</v>
      </c>
      <c r="W55" s="10">
        <f>208800000+958500000</f>
        <v>1167300000</v>
      </c>
      <c r="X55" s="10">
        <v>0</v>
      </c>
      <c r="Y55" s="4">
        <v>0</v>
      </c>
      <c r="Z55" s="10">
        <f>2196000000+958500000</f>
        <v>3154500000</v>
      </c>
      <c r="AA55" s="4">
        <v>0</v>
      </c>
      <c r="AB55" s="10">
        <f>2196000000+2308500000+208800000</f>
        <v>4713300000</v>
      </c>
      <c r="AC55" s="4">
        <f t="shared" si="0"/>
        <v>9993600000</v>
      </c>
    </row>
    <row r="56" spans="3:29" ht="76.5" x14ac:dyDescent="0.25">
      <c r="C56" s="5" t="s">
        <v>27</v>
      </c>
      <c r="D56" s="5" t="s">
        <v>28</v>
      </c>
      <c r="E56" s="5" t="s">
        <v>27</v>
      </c>
      <c r="F56" s="5" t="s">
        <v>28</v>
      </c>
      <c r="G56" s="5" t="s">
        <v>29</v>
      </c>
      <c r="H56" s="5" t="s">
        <v>30</v>
      </c>
      <c r="I56" s="5" t="s">
        <v>31</v>
      </c>
      <c r="J56" s="5" t="s">
        <v>32</v>
      </c>
      <c r="K56" s="5" t="s">
        <v>33</v>
      </c>
      <c r="L56" s="5" t="s">
        <v>34</v>
      </c>
      <c r="M56" s="5" t="s">
        <v>85</v>
      </c>
      <c r="N56" s="5" t="s">
        <v>86</v>
      </c>
      <c r="O56" s="5" t="s">
        <v>87</v>
      </c>
      <c r="P56" s="15">
        <v>23244750000</v>
      </c>
      <c r="Q56" s="13">
        <v>1937062500</v>
      </c>
      <c r="R56" s="13">
        <v>2582750000</v>
      </c>
      <c r="S56" s="13">
        <v>3228437500</v>
      </c>
      <c r="T56" s="13">
        <v>2582750000</v>
      </c>
      <c r="U56" s="13">
        <v>2582750000</v>
      </c>
      <c r="V56" s="13">
        <v>2582750000</v>
      </c>
      <c r="W56" s="13">
        <v>2582750000</v>
      </c>
      <c r="X56" s="13">
        <v>2582750000</v>
      </c>
      <c r="Y56" s="13">
        <v>2582750000</v>
      </c>
      <c r="Z56" s="13">
        <v>0</v>
      </c>
      <c r="AA56" s="13">
        <v>0</v>
      </c>
      <c r="AB56" s="13">
        <v>0</v>
      </c>
      <c r="AC56" s="4">
        <f t="shared" si="0"/>
        <v>23244750000</v>
      </c>
    </row>
    <row r="57" spans="3:29" ht="76.5" x14ac:dyDescent="0.25">
      <c r="C57" s="5" t="s">
        <v>27</v>
      </c>
      <c r="D57" s="5" t="s">
        <v>28</v>
      </c>
      <c r="E57" s="5" t="s">
        <v>27</v>
      </c>
      <c r="F57" s="5" t="s">
        <v>28</v>
      </c>
      <c r="G57" s="5" t="s">
        <v>29</v>
      </c>
      <c r="H57" s="5" t="s">
        <v>30</v>
      </c>
      <c r="I57" s="5" t="s">
        <v>31</v>
      </c>
      <c r="J57" s="5" t="s">
        <v>32</v>
      </c>
      <c r="K57" s="5" t="s">
        <v>33</v>
      </c>
      <c r="L57" s="5" t="s">
        <v>34</v>
      </c>
      <c r="M57" s="14" t="s">
        <v>85</v>
      </c>
      <c r="N57" s="14" t="s">
        <v>88</v>
      </c>
      <c r="O57" s="14" t="s">
        <v>89</v>
      </c>
      <c r="P57" s="15">
        <v>2496000000</v>
      </c>
      <c r="Q57" s="13">
        <v>192000000</v>
      </c>
      <c r="R57" s="13">
        <v>192000000</v>
      </c>
      <c r="S57" s="13">
        <v>384000000</v>
      </c>
      <c r="T57" s="13">
        <v>192000000</v>
      </c>
      <c r="U57" s="10">
        <v>240000000</v>
      </c>
      <c r="V57" s="10">
        <v>200000000</v>
      </c>
      <c r="W57" s="10">
        <v>200000000</v>
      </c>
      <c r="X57" s="10">
        <v>200000000</v>
      </c>
      <c r="Y57" s="10">
        <v>200000000</v>
      </c>
      <c r="Z57" s="10">
        <v>200000000</v>
      </c>
      <c r="AA57" s="10">
        <v>200000000</v>
      </c>
      <c r="AB57" s="10">
        <v>96000000</v>
      </c>
      <c r="AC57" s="4">
        <f t="shared" si="0"/>
        <v>2496000000</v>
      </c>
    </row>
    <row r="58" spans="3:29" ht="76.5" x14ac:dyDescent="0.25">
      <c r="C58" s="5" t="s">
        <v>27</v>
      </c>
      <c r="D58" s="5" t="s">
        <v>28</v>
      </c>
      <c r="E58" s="5" t="s">
        <v>27</v>
      </c>
      <c r="F58" s="5" t="s">
        <v>28</v>
      </c>
      <c r="G58" s="5" t="s">
        <v>29</v>
      </c>
      <c r="H58" s="5" t="s">
        <v>30</v>
      </c>
      <c r="I58" s="5" t="s">
        <v>31</v>
      </c>
      <c r="J58" s="5" t="s">
        <v>32</v>
      </c>
      <c r="K58" s="5" t="s">
        <v>33</v>
      </c>
      <c r="L58" s="5" t="s">
        <v>34</v>
      </c>
      <c r="M58" s="5" t="s">
        <v>85</v>
      </c>
      <c r="N58" s="5" t="s">
        <v>90</v>
      </c>
      <c r="O58" s="5" t="s">
        <v>91</v>
      </c>
      <c r="P58" s="15">
        <v>4990700000</v>
      </c>
      <c r="Q58" s="13">
        <v>383900000</v>
      </c>
      <c r="R58" s="13">
        <v>383900000</v>
      </c>
      <c r="S58" s="13">
        <v>767800000</v>
      </c>
      <c r="T58" s="13">
        <v>383900000</v>
      </c>
      <c r="U58" s="13">
        <v>383900000</v>
      </c>
      <c r="V58" s="13">
        <v>383900000</v>
      </c>
      <c r="W58" s="13">
        <v>383900000</v>
      </c>
      <c r="X58" s="13">
        <v>383900000</v>
      </c>
      <c r="Y58" s="13">
        <v>383900000</v>
      </c>
      <c r="Z58" s="13">
        <v>383900000</v>
      </c>
      <c r="AA58" s="13">
        <v>383900000</v>
      </c>
      <c r="AB58" s="13">
        <v>383900000</v>
      </c>
      <c r="AC58" s="4">
        <f t="shared" si="0"/>
        <v>4990700000</v>
      </c>
    </row>
    <row r="59" spans="3:29" ht="76.5" x14ac:dyDescent="0.25">
      <c r="C59" s="5" t="s">
        <v>27</v>
      </c>
      <c r="D59" s="5" t="s">
        <v>28</v>
      </c>
      <c r="E59" s="5" t="s">
        <v>27</v>
      </c>
      <c r="F59" s="5" t="s">
        <v>28</v>
      </c>
      <c r="G59" s="5" t="s">
        <v>29</v>
      </c>
      <c r="H59" s="5" t="s">
        <v>30</v>
      </c>
      <c r="I59" s="5" t="s">
        <v>31</v>
      </c>
      <c r="J59" s="5" t="s">
        <v>32</v>
      </c>
      <c r="K59" s="5" t="s">
        <v>33</v>
      </c>
      <c r="L59" s="5" t="s">
        <v>34</v>
      </c>
      <c r="M59" s="5" t="s">
        <v>85</v>
      </c>
      <c r="N59" s="5" t="s">
        <v>345</v>
      </c>
      <c r="O59" s="5" t="s">
        <v>342</v>
      </c>
      <c r="P59" s="15">
        <v>328800000</v>
      </c>
      <c r="Q59" s="13">
        <v>27400000</v>
      </c>
      <c r="R59" s="13">
        <v>32880000</v>
      </c>
      <c r="S59" s="13">
        <v>30140000</v>
      </c>
      <c r="T59" s="13">
        <v>30140000</v>
      </c>
      <c r="U59" s="13">
        <v>30140000</v>
      </c>
      <c r="V59" s="13">
        <v>30140000</v>
      </c>
      <c r="W59" s="13">
        <v>30140000</v>
      </c>
      <c r="X59" s="13">
        <v>30140000</v>
      </c>
      <c r="Y59" s="13">
        <v>30140000</v>
      </c>
      <c r="Z59" s="13">
        <v>30140000</v>
      </c>
      <c r="AA59" s="13">
        <v>27400000</v>
      </c>
      <c r="AB59" s="13">
        <v>0</v>
      </c>
      <c r="AC59" s="4">
        <f t="shared" si="0"/>
        <v>328800000</v>
      </c>
    </row>
    <row r="60" spans="3:29" ht="76.5" x14ac:dyDescent="0.25">
      <c r="C60" s="5" t="s">
        <v>27</v>
      </c>
      <c r="D60" s="5" t="s">
        <v>28</v>
      </c>
      <c r="E60" s="5" t="s">
        <v>27</v>
      </c>
      <c r="F60" s="5" t="s">
        <v>28</v>
      </c>
      <c r="G60" s="5" t="s">
        <v>29</v>
      </c>
      <c r="H60" s="5" t="s">
        <v>30</v>
      </c>
      <c r="I60" s="5" t="s">
        <v>31</v>
      </c>
      <c r="J60" s="5" t="s">
        <v>32</v>
      </c>
      <c r="K60" s="5" t="s">
        <v>33</v>
      </c>
      <c r="L60" s="5" t="s">
        <v>34</v>
      </c>
      <c r="M60" s="5" t="s">
        <v>85</v>
      </c>
      <c r="N60" s="5" t="s">
        <v>344</v>
      </c>
      <c r="O60" s="5" t="s">
        <v>346</v>
      </c>
      <c r="P60" s="15">
        <v>153600000</v>
      </c>
      <c r="Q60" s="13">
        <v>12800000</v>
      </c>
      <c r="R60" s="13">
        <v>15360000</v>
      </c>
      <c r="S60" s="13">
        <v>14080000</v>
      </c>
      <c r="T60" s="13">
        <v>14080000</v>
      </c>
      <c r="U60" s="13">
        <v>14080000</v>
      </c>
      <c r="V60" s="13">
        <v>14080000</v>
      </c>
      <c r="W60" s="13">
        <v>14080000</v>
      </c>
      <c r="X60" s="13">
        <v>14080000</v>
      </c>
      <c r="Y60" s="13">
        <v>14080000</v>
      </c>
      <c r="Z60" s="13">
        <v>14080000</v>
      </c>
      <c r="AA60" s="13">
        <v>12800000</v>
      </c>
      <c r="AB60" s="13">
        <v>0</v>
      </c>
      <c r="AC60" s="4">
        <f t="shared" si="0"/>
        <v>153600000</v>
      </c>
    </row>
    <row r="61" spans="3:29" ht="76.5" x14ac:dyDescent="0.25">
      <c r="C61" s="5" t="s">
        <v>27</v>
      </c>
      <c r="D61" s="5" t="s">
        <v>28</v>
      </c>
      <c r="E61" s="5" t="s">
        <v>27</v>
      </c>
      <c r="F61" s="5" t="s">
        <v>28</v>
      </c>
      <c r="G61" s="5" t="s">
        <v>29</v>
      </c>
      <c r="H61" s="5" t="s">
        <v>30</v>
      </c>
      <c r="I61" s="5" t="s">
        <v>31</v>
      </c>
      <c r="J61" s="5" t="s">
        <v>32</v>
      </c>
      <c r="K61" s="5" t="s">
        <v>33</v>
      </c>
      <c r="L61" s="5" t="s">
        <v>34</v>
      </c>
      <c r="M61" s="5" t="s">
        <v>85</v>
      </c>
      <c r="N61" s="5" t="s">
        <v>347</v>
      </c>
      <c r="O61" s="5" t="s">
        <v>348</v>
      </c>
      <c r="P61" s="15">
        <v>5528832</v>
      </c>
      <c r="Q61" s="13">
        <v>460736</v>
      </c>
      <c r="R61" s="13">
        <v>460736</v>
      </c>
      <c r="S61" s="13">
        <v>460736</v>
      </c>
      <c r="T61" s="13">
        <v>460736</v>
      </c>
      <c r="U61" s="10">
        <v>2350000</v>
      </c>
      <c r="V61" s="10">
        <v>470000</v>
      </c>
      <c r="W61" s="10">
        <v>470000</v>
      </c>
      <c r="X61" s="10">
        <v>395888</v>
      </c>
      <c r="Y61" s="10"/>
      <c r="Z61" s="10"/>
      <c r="AA61" s="10"/>
      <c r="AB61" s="10"/>
      <c r="AC61" s="4">
        <f t="shared" si="0"/>
        <v>5528832</v>
      </c>
    </row>
    <row r="62" spans="3:29" ht="76.5" x14ac:dyDescent="0.25">
      <c r="C62" s="5" t="s">
        <v>27</v>
      </c>
      <c r="D62" s="5" t="s">
        <v>28</v>
      </c>
      <c r="E62" s="5" t="s">
        <v>27</v>
      </c>
      <c r="F62" s="5" t="s">
        <v>28</v>
      </c>
      <c r="G62" s="5" t="s">
        <v>29</v>
      </c>
      <c r="H62" s="5" t="s">
        <v>30</v>
      </c>
      <c r="I62" s="5" t="s">
        <v>31</v>
      </c>
      <c r="J62" s="5" t="s">
        <v>32</v>
      </c>
      <c r="K62" s="5" t="s">
        <v>33</v>
      </c>
      <c r="L62" s="5" t="s">
        <v>34</v>
      </c>
      <c r="M62" s="5" t="s">
        <v>85</v>
      </c>
      <c r="N62" s="5" t="s">
        <v>349</v>
      </c>
      <c r="O62" s="5" t="s">
        <v>350</v>
      </c>
      <c r="P62" s="15">
        <v>11054676</v>
      </c>
      <c r="Q62" s="13">
        <v>921223</v>
      </c>
      <c r="R62" s="13">
        <v>921223</v>
      </c>
      <c r="S62" s="13">
        <v>921223</v>
      </c>
      <c r="T62" s="13">
        <v>921223</v>
      </c>
      <c r="U62" s="13">
        <v>921223</v>
      </c>
      <c r="V62" s="13">
        <v>921223</v>
      </c>
      <c r="W62" s="13">
        <v>921223</v>
      </c>
      <c r="X62" s="13">
        <v>921223</v>
      </c>
      <c r="Y62" s="13">
        <v>921223</v>
      </c>
      <c r="Z62" s="13">
        <v>921223</v>
      </c>
      <c r="AA62" s="13">
        <v>921223</v>
      </c>
      <c r="AB62" s="13">
        <v>921223</v>
      </c>
      <c r="AC62" s="4">
        <f t="shared" ref="AC62:AC129" si="1">Q62+R62+S62+T62+U62+V62+W62+X62+Y62+Z62+AA62+AB62</f>
        <v>11054676</v>
      </c>
    </row>
    <row r="63" spans="3:29" ht="76.5" x14ac:dyDescent="0.25">
      <c r="C63" s="5" t="s">
        <v>27</v>
      </c>
      <c r="D63" s="5" t="s">
        <v>28</v>
      </c>
      <c r="E63" s="5" t="s">
        <v>27</v>
      </c>
      <c r="F63" s="5" t="s">
        <v>28</v>
      </c>
      <c r="G63" s="5" t="s">
        <v>29</v>
      </c>
      <c r="H63" s="5" t="s">
        <v>30</v>
      </c>
      <c r="I63" s="5" t="s">
        <v>31</v>
      </c>
      <c r="J63" s="5" t="s">
        <v>32</v>
      </c>
      <c r="K63" s="5" t="s">
        <v>33</v>
      </c>
      <c r="L63" s="5" t="s">
        <v>34</v>
      </c>
      <c r="M63" s="5" t="s">
        <v>85</v>
      </c>
      <c r="N63" s="5" t="s">
        <v>351</v>
      </c>
      <c r="O63" s="5" t="s">
        <v>352</v>
      </c>
      <c r="P63" s="15">
        <v>16588800</v>
      </c>
      <c r="Q63" s="13">
        <v>1382400</v>
      </c>
      <c r="R63" s="13">
        <v>1382400</v>
      </c>
      <c r="S63" s="13">
        <v>1382400</v>
      </c>
      <c r="T63" s="13">
        <v>1382400</v>
      </c>
      <c r="U63" s="10">
        <v>1520400</v>
      </c>
      <c r="V63" s="10">
        <v>1410000</v>
      </c>
      <c r="W63" s="10">
        <v>1410000</v>
      </c>
      <c r="X63" s="10">
        <v>1410000</v>
      </c>
      <c r="Y63" s="10">
        <v>1410000</v>
      </c>
      <c r="Z63" s="10">
        <v>1410000</v>
      </c>
      <c r="AA63" s="10">
        <v>1410000</v>
      </c>
      <c r="AB63" s="10">
        <v>1078800</v>
      </c>
      <c r="AC63" s="4">
        <f t="shared" si="1"/>
        <v>16588800</v>
      </c>
    </row>
    <row r="64" spans="3:29" ht="76.5" x14ac:dyDescent="0.25">
      <c r="C64" s="5" t="s">
        <v>27</v>
      </c>
      <c r="D64" s="5" t="s">
        <v>28</v>
      </c>
      <c r="E64" s="5" t="s">
        <v>27</v>
      </c>
      <c r="F64" s="5" t="s">
        <v>28</v>
      </c>
      <c r="G64" s="5" t="s">
        <v>29</v>
      </c>
      <c r="H64" s="5" t="s">
        <v>30</v>
      </c>
      <c r="I64" s="5" t="s">
        <v>31</v>
      </c>
      <c r="J64" s="5" t="s">
        <v>32</v>
      </c>
      <c r="K64" s="5" t="s">
        <v>33</v>
      </c>
      <c r="L64" s="5" t="s">
        <v>34</v>
      </c>
      <c r="M64" s="5" t="s">
        <v>85</v>
      </c>
      <c r="N64" s="5" t="s">
        <v>353</v>
      </c>
      <c r="O64" s="5" t="s">
        <v>354</v>
      </c>
      <c r="P64" s="15">
        <v>33168960</v>
      </c>
      <c r="Q64" s="13">
        <v>2764080</v>
      </c>
      <c r="R64" s="13">
        <v>2764080</v>
      </c>
      <c r="S64" s="13">
        <v>2764080</v>
      </c>
      <c r="T64" s="13">
        <v>2764080</v>
      </c>
      <c r="U64" s="13">
        <v>2764080</v>
      </c>
      <c r="V64" s="13">
        <v>2764080</v>
      </c>
      <c r="W64" s="13">
        <v>2764080</v>
      </c>
      <c r="X64" s="13">
        <v>2764080</v>
      </c>
      <c r="Y64" s="13">
        <v>2764080</v>
      </c>
      <c r="Z64" s="13">
        <v>2764080</v>
      </c>
      <c r="AA64" s="13">
        <v>2764080</v>
      </c>
      <c r="AB64" s="13">
        <v>2764080</v>
      </c>
      <c r="AC64" s="4">
        <f t="shared" si="1"/>
        <v>33168960</v>
      </c>
    </row>
    <row r="65" spans="3:29" ht="51" x14ac:dyDescent="0.25">
      <c r="C65" s="5" t="s">
        <v>27</v>
      </c>
      <c r="D65" s="5" t="s">
        <v>28</v>
      </c>
      <c r="E65" s="5" t="s">
        <v>27</v>
      </c>
      <c r="F65" s="5" t="s">
        <v>28</v>
      </c>
      <c r="G65" s="5" t="s">
        <v>29</v>
      </c>
      <c r="H65" s="5" t="s">
        <v>30</v>
      </c>
      <c r="I65" s="5" t="s">
        <v>31</v>
      </c>
      <c r="J65" s="5" t="s">
        <v>32</v>
      </c>
      <c r="K65" s="5" t="s">
        <v>33</v>
      </c>
      <c r="L65" s="5" t="s">
        <v>34</v>
      </c>
      <c r="M65" s="5" t="s">
        <v>58</v>
      </c>
      <c r="N65" s="5" t="s">
        <v>44</v>
      </c>
      <c r="O65" s="5" t="s">
        <v>45</v>
      </c>
      <c r="P65" s="15">
        <v>142741150</v>
      </c>
      <c r="Q65" s="13">
        <v>0</v>
      </c>
      <c r="R65" s="13">
        <v>0</v>
      </c>
      <c r="S65" s="13">
        <v>19921000</v>
      </c>
      <c r="T65" s="13">
        <v>0</v>
      </c>
      <c r="U65" s="13">
        <v>0</v>
      </c>
      <c r="V65" s="13">
        <v>0</v>
      </c>
      <c r="W65" s="13">
        <v>122820150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4">
        <f t="shared" si="1"/>
        <v>142741150</v>
      </c>
    </row>
    <row r="66" spans="3:29" ht="51" x14ac:dyDescent="0.25">
      <c r="C66" s="5" t="s">
        <v>27</v>
      </c>
      <c r="D66" s="5" t="s">
        <v>28</v>
      </c>
      <c r="E66" s="5" t="s">
        <v>27</v>
      </c>
      <c r="F66" s="5" t="s">
        <v>28</v>
      </c>
      <c r="G66" s="5" t="s">
        <v>29</v>
      </c>
      <c r="H66" s="5" t="s">
        <v>30</v>
      </c>
      <c r="I66" s="5" t="s">
        <v>31</v>
      </c>
      <c r="J66" s="5" t="s">
        <v>32</v>
      </c>
      <c r="K66" s="5" t="s">
        <v>33</v>
      </c>
      <c r="L66" s="5" t="s">
        <v>34</v>
      </c>
      <c r="M66" s="5" t="s">
        <v>56</v>
      </c>
      <c r="N66" s="5" t="s">
        <v>44</v>
      </c>
      <c r="O66" s="5" t="s">
        <v>45</v>
      </c>
      <c r="P66" s="15">
        <v>161313399</v>
      </c>
      <c r="Q66" s="13">
        <v>0</v>
      </c>
      <c r="R66" s="13">
        <v>0</v>
      </c>
      <c r="S66" s="13">
        <v>0</v>
      </c>
      <c r="T66" s="13">
        <v>13237500</v>
      </c>
      <c r="U66" s="13">
        <v>0</v>
      </c>
      <c r="V66" s="13">
        <v>0</v>
      </c>
      <c r="W66" s="13">
        <v>148075899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4">
        <f t="shared" si="1"/>
        <v>161313399</v>
      </c>
    </row>
    <row r="67" spans="3:29" ht="51" x14ac:dyDescent="0.25">
      <c r="C67" s="5" t="s">
        <v>27</v>
      </c>
      <c r="D67" s="5" t="s">
        <v>28</v>
      </c>
      <c r="E67" s="5" t="s">
        <v>27</v>
      </c>
      <c r="F67" s="5" t="s">
        <v>28</v>
      </c>
      <c r="G67" s="5" t="s">
        <v>29</v>
      </c>
      <c r="H67" s="5" t="s">
        <v>30</v>
      </c>
      <c r="I67" s="5" t="s">
        <v>31</v>
      </c>
      <c r="J67" s="5" t="s">
        <v>32</v>
      </c>
      <c r="K67" s="5" t="s">
        <v>33</v>
      </c>
      <c r="L67" s="5" t="s">
        <v>34</v>
      </c>
      <c r="M67" s="5" t="s">
        <v>115</v>
      </c>
      <c r="N67" s="5" t="s">
        <v>50</v>
      </c>
      <c r="O67" s="5" t="s">
        <v>51</v>
      </c>
      <c r="P67" s="15">
        <v>143176700</v>
      </c>
      <c r="Q67" s="13">
        <v>0</v>
      </c>
      <c r="R67" s="13">
        <v>0</v>
      </c>
      <c r="S67" s="13"/>
      <c r="T67" s="13">
        <v>19921000</v>
      </c>
      <c r="U67" s="13">
        <v>0</v>
      </c>
      <c r="V67" s="13">
        <v>123255700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4">
        <f t="shared" si="1"/>
        <v>143176700</v>
      </c>
    </row>
    <row r="68" spans="3:29" ht="38.25" x14ac:dyDescent="0.25">
      <c r="C68" s="5" t="s">
        <v>27</v>
      </c>
      <c r="D68" s="5" t="s">
        <v>28</v>
      </c>
      <c r="E68" s="5" t="s">
        <v>27</v>
      </c>
      <c r="F68" s="5" t="s">
        <v>28</v>
      </c>
      <c r="G68" s="5" t="s">
        <v>29</v>
      </c>
      <c r="H68" s="5" t="s">
        <v>30</v>
      </c>
      <c r="I68" s="5" t="s">
        <v>31</v>
      </c>
      <c r="J68" s="5" t="s">
        <v>32</v>
      </c>
      <c r="K68" s="5" t="s">
        <v>33</v>
      </c>
      <c r="L68" s="5" t="s">
        <v>34</v>
      </c>
      <c r="M68" s="24" t="s">
        <v>115</v>
      </c>
      <c r="N68" s="24" t="s">
        <v>44</v>
      </c>
      <c r="O68" s="24" t="s">
        <v>45</v>
      </c>
      <c r="P68" s="15">
        <v>8057099300</v>
      </c>
      <c r="Q68" s="13">
        <v>0</v>
      </c>
      <c r="R68" s="13">
        <v>154485000</v>
      </c>
      <c r="S68" s="13"/>
      <c r="T68" s="13">
        <v>756529000</v>
      </c>
      <c r="U68" s="13">
        <v>0</v>
      </c>
      <c r="V68" s="26">
        <v>711139000</v>
      </c>
      <c r="W68" s="13">
        <v>5435664000</v>
      </c>
      <c r="X68" s="26">
        <v>999282300</v>
      </c>
      <c r="Y68" s="13">
        <v>0</v>
      </c>
      <c r="Z68" s="13">
        <v>0</v>
      </c>
      <c r="AA68" s="13">
        <v>0</v>
      </c>
      <c r="AB68" s="13">
        <v>0</v>
      </c>
      <c r="AC68" s="4">
        <f t="shared" si="1"/>
        <v>8057099300</v>
      </c>
    </row>
    <row r="69" spans="3:29" ht="51" x14ac:dyDescent="0.25">
      <c r="C69" s="5" t="s">
        <v>27</v>
      </c>
      <c r="D69" s="5" t="s">
        <v>28</v>
      </c>
      <c r="E69" s="5" t="s">
        <v>27</v>
      </c>
      <c r="F69" s="5" t="s">
        <v>28</v>
      </c>
      <c r="G69" s="5" t="s">
        <v>29</v>
      </c>
      <c r="H69" s="5" t="s">
        <v>30</v>
      </c>
      <c r="I69" s="5" t="s">
        <v>31</v>
      </c>
      <c r="J69" s="5" t="s">
        <v>32</v>
      </c>
      <c r="K69" s="5" t="s">
        <v>33</v>
      </c>
      <c r="L69" s="5" t="s">
        <v>34</v>
      </c>
      <c r="M69" s="5" t="s">
        <v>57</v>
      </c>
      <c r="N69" s="5" t="s">
        <v>44</v>
      </c>
      <c r="O69" s="5" t="s">
        <v>45</v>
      </c>
      <c r="P69" s="15">
        <v>132723500</v>
      </c>
      <c r="Q69" s="13">
        <v>0</v>
      </c>
      <c r="R69" s="13">
        <v>0</v>
      </c>
      <c r="S69" s="13">
        <v>19921000</v>
      </c>
      <c r="T69" s="13">
        <v>0</v>
      </c>
      <c r="U69" s="13">
        <v>0</v>
      </c>
      <c r="V69" s="13">
        <v>0</v>
      </c>
      <c r="W69" s="13">
        <v>112802500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4">
        <f t="shared" si="1"/>
        <v>132723500</v>
      </c>
    </row>
    <row r="70" spans="3:29" ht="51" x14ac:dyDescent="0.25">
      <c r="C70" s="5" t="s">
        <v>27</v>
      </c>
      <c r="D70" s="5" t="s">
        <v>28</v>
      </c>
      <c r="E70" s="5" t="s">
        <v>27</v>
      </c>
      <c r="F70" s="5" t="s">
        <v>28</v>
      </c>
      <c r="G70" s="5" t="s">
        <v>29</v>
      </c>
      <c r="H70" s="5" t="s">
        <v>30</v>
      </c>
      <c r="I70" s="5" t="s">
        <v>31</v>
      </c>
      <c r="J70" s="5" t="s">
        <v>32</v>
      </c>
      <c r="K70" s="5" t="s">
        <v>33</v>
      </c>
      <c r="L70" s="5" t="s">
        <v>34</v>
      </c>
      <c r="M70" s="5" t="s">
        <v>114</v>
      </c>
      <c r="N70" s="5" t="s">
        <v>44</v>
      </c>
      <c r="O70" s="5" t="s">
        <v>45</v>
      </c>
      <c r="P70" s="15">
        <v>143176700</v>
      </c>
      <c r="Q70" s="13">
        <v>0</v>
      </c>
      <c r="R70" s="13">
        <v>0</v>
      </c>
      <c r="S70" s="13">
        <v>19921000</v>
      </c>
      <c r="T70" s="13">
        <v>0</v>
      </c>
      <c r="U70" s="13">
        <v>0</v>
      </c>
      <c r="V70" s="13">
        <v>111500800</v>
      </c>
      <c r="W70" s="13">
        <v>11754900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4">
        <f t="shared" si="1"/>
        <v>143176700</v>
      </c>
    </row>
    <row r="71" spans="3:29" ht="38.25" x14ac:dyDescent="0.25">
      <c r="C71" s="5" t="s">
        <v>27</v>
      </c>
      <c r="D71" s="5" t="s">
        <v>28</v>
      </c>
      <c r="E71" s="5" t="s">
        <v>27</v>
      </c>
      <c r="F71" s="5" t="s">
        <v>28</v>
      </c>
      <c r="G71" s="5" t="s">
        <v>29</v>
      </c>
      <c r="H71" s="5" t="s">
        <v>30</v>
      </c>
      <c r="I71" s="5" t="s">
        <v>31</v>
      </c>
      <c r="J71" s="5" t="s">
        <v>32</v>
      </c>
      <c r="K71" s="5" t="s">
        <v>128</v>
      </c>
      <c r="L71" s="5" t="s">
        <v>129</v>
      </c>
      <c r="M71" s="5" t="s">
        <v>35</v>
      </c>
      <c r="N71" s="5" t="s">
        <v>130</v>
      </c>
      <c r="O71" s="5" t="s">
        <v>131</v>
      </c>
      <c r="P71" s="15">
        <v>465000000</v>
      </c>
      <c r="Q71" s="13"/>
      <c r="R71" s="13"/>
      <c r="S71" s="13"/>
      <c r="T71" s="13"/>
      <c r="U71" s="13"/>
      <c r="V71" s="13"/>
      <c r="W71" s="13"/>
      <c r="X71" s="13"/>
      <c r="Y71" s="13"/>
      <c r="Z71" s="13">
        <v>465000000</v>
      </c>
      <c r="AA71" s="13"/>
      <c r="AB71" s="13"/>
      <c r="AC71" s="4">
        <f t="shared" si="1"/>
        <v>465000000</v>
      </c>
    </row>
    <row r="72" spans="3:29" ht="38.25" x14ac:dyDescent="0.25">
      <c r="C72" s="5" t="s">
        <v>27</v>
      </c>
      <c r="D72" s="5" t="s">
        <v>28</v>
      </c>
      <c r="E72" s="5" t="s">
        <v>27</v>
      </c>
      <c r="F72" s="5" t="s">
        <v>28</v>
      </c>
      <c r="G72" s="5" t="s">
        <v>29</v>
      </c>
      <c r="H72" s="5" t="s">
        <v>30</v>
      </c>
      <c r="I72" s="5" t="s">
        <v>31</v>
      </c>
      <c r="J72" s="5" t="s">
        <v>32</v>
      </c>
      <c r="K72" s="5" t="s">
        <v>128</v>
      </c>
      <c r="L72" s="5" t="s">
        <v>129</v>
      </c>
      <c r="M72" s="5" t="s">
        <v>35</v>
      </c>
      <c r="N72" s="5" t="s">
        <v>36</v>
      </c>
      <c r="O72" s="5" t="s">
        <v>37</v>
      </c>
      <c r="P72" s="15">
        <v>6522000</v>
      </c>
      <c r="Q72" s="13"/>
      <c r="R72" s="13"/>
      <c r="S72" s="13"/>
      <c r="T72" s="13"/>
      <c r="U72" s="13"/>
      <c r="V72" s="13"/>
      <c r="W72" s="13"/>
      <c r="X72" s="13"/>
      <c r="Y72" s="13"/>
      <c r="Z72" s="13">
        <v>6522000</v>
      </c>
      <c r="AA72" s="13"/>
      <c r="AB72" s="13"/>
      <c r="AC72" s="4">
        <f t="shared" si="1"/>
        <v>6522000</v>
      </c>
    </row>
    <row r="73" spans="3:29" ht="38.25" x14ac:dyDescent="0.25">
      <c r="C73" s="5" t="s">
        <v>27</v>
      </c>
      <c r="D73" s="5" t="s">
        <v>28</v>
      </c>
      <c r="E73" s="5" t="s">
        <v>27</v>
      </c>
      <c r="F73" s="5" t="s">
        <v>28</v>
      </c>
      <c r="G73" s="5" t="s">
        <v>29</v>
      </c>
      <c r="H73" s="5" t="s">
        <v>30</v>
      </c>
      <c r="I73" s="5" t="s">
        <v>31</v>
      </c>
      <c r="J73" s="5" t="s">
        <v>32</v>
      </c>
      <c r="K73" s="5" t="s">
        <v>128</v>
      </c>
      <c r="L73" s="5" t="s">
        <v>129</v>
      </c>
      <c r="M73" s="5" t="s">
        <v>35</v>
      </c>
      <c r="N73" s="5" t="s">
        <v>38</v>
      </c>
      <c r="O73" s="5" t="s">
        <v>39</v>
      </c>
      <c r="P73" s="15">
        <v>198218100</v>
      </c>
      <c r="Q73" s="13"/>
      <c r="R73" s="13"/>
      <c r="S73" s="13"/>
      <c r="T73" s="13"/>
      <c r="U73" s="13"/>
      <c r="V73" s="13"/>
      <c r="W73" s="13"/>
      <c r="X73" s="13"/>
      <c r="Y73" s="13"/>
      <c r="Z73" s="13">
        <v>198218100</v>
      </c>
      <c r="AA73" s="13"/>
      <c r="AB73" s="13"/>
      <c r="AC73" s="4">
        <f t="shared" si="1"/>
        <v>198218100</v>
      </c>
    </row>
    <row r="74" spans="3:29" ht="38.25" x14ac:dyDescent="0.25">
      <c r="C74" s="5" t="s">
        <v>27</v>
      </c>
      <c r="D74" s="5" t="s">
        <v>28</v>
      </c>
      <c r="E74" s="5" t="s">
        <v>27</v>
      </c>
      <c r="F74" s="5" t="s">
        <v>28</v>
      </c>
      <c r="G74" s="5" t="s">
        <v>29</v>
      </c>
      <c r="H74" s="5" t="s">
        <v>30</v>
      </c>
      <c r="I74" s="5" t="s">
        <v>31</v>
      </c>
      <c r="J74" s="5" t="s">
        <v>32</v>
      </c>
      <c r="K74" s="5" t="s">
        <v>128</v>
      </c>
      <c r="L74" s="5" t="s">
        <v>129</v>
      </c>
      <c r="M74" s="5" t="s">
        <v>35</v>
      </c>
      <c r="N74" s="5" t="s">
        <v>44</v>
      </c>
      <c r="O74" s="5" t="s">
        <v>45</v>
      </c>
      <c r="P74" s="15">
        <v>3854525600</v>
      </c>
      <c r="Q74" s="13"/>
      <c r="R74" s="13"/>
      <c r="S74" s="13"/>
      <c r="T74" s="13"/>
      <c r="U74" s="13"/>
      <c r="V74" s="13">
        <v>1052177280</v>
      </c>
      <c r="W74" s="13"/>
      <c r="X74" s="13"/>
      <c r="Y74" s="13">
        <v>1052177280</v>
      </c>
      <c r="Z74" s="13"/>
      <c r="AA74" s="13">
        <v>1750171040</v>
      </c>
      <c r="AB74" s="13"/>
      <c r="AC74" s="4">
        <f t="shared" si="1"/>
        <v>3854525600</v>
      </c>
    </row>
    <row r="75" spans="3:29" ht="38.25" x14ac:dyDescent="0.25">
      <c r="C75" s="5" t="s">
        <v>27</v>
      </c>
      <c r="D75" s="5" t="s">
        <v>28</v>
      </c>
      <c r="E75" s="5" t="s">
        <v>27</v>
      </c>
      <c r="F75" s="5" t="s">
        <v>28</v>
      </c>
      <c r="G75" s="5" t="s">
        <v>29</v>
      </c>
      <c r="H75" s="5" t="s">
        <v>30</v>
      </c>
      <c r="I75" s="5" t="s">
        <v>31</v>
      </c>
      <c r="J75" s="5" t="s">
        <v>32</v>
      </c>
      <c r="K75" s="5" t="s">
        <v>128</v>
      </c>
      <c r="L75" s="5" t="s">
        <v>129</v>
      </c>
      <c r="M75" s="5" t="s">
        <v>46</v>
      </c>
      <c r="N75" s="5" t="s">
        <v>44</v>
      </c>
      <c r="O75" s="5" t="s">
        <v>45</v>
      </c>
      <c r="P75" s="15">
        <v>233565899</v>
      </c>
      <c r="Q75" s="13"/>
      <c r="R75" s="13"/>
      <c r="S75" s="13"/>
      <c r="T75" s="13">
        <v>32597999</v>
      </c>
      <c r="U75" s="13"/>
      <c r="V75" s="13"/>
      <c r="W75" s="13">
        <v>200967900</v>
      </c>
      <c r="X75" s="13"/>
      <c r="Y75" s="13"/>
      <c r="Z75" s="13"/>
      <c r="AA75" s="13"/>
      <c r="AB75" s="13"/>
      <c r="AC75" s="4">
        <f t="shared" si="1"/>
        <v>233565899</v>
      </c>
    </row>
    <row r="76" spans="3:29" ht="51" x14ac:dyDescent="0.25">
      <c r="C76" s="5" t="s">
        <v>27</v>
      </c>
      <c r="D76" s="5" t="s">
        <v>28</v>
      </c>
      <c r="E76" s="5" t="s">
        <v>27</v>
      </c>
      <c r="F76" s="5" t="s">
        <v>28</v>
      </c>
      <c r="G76" s="5" t="s">
        <v>29</v>
      </c>
      <c r="H76" s="5" t="s">
        <v>30</v>
      </c>
      <c r="I76" s="5" t="s">
        <v>31</v>
      </c>
      <c r="J76" s="5" t="s">
        <v>32</v>
      </c>
      <c r="K76" s="5" t="s">
        <v>128</v>
      </c>
      <c r="L76" s="5" t="s">
        <v>129</v>
      </c>
      <c r="M76" s="5" t="s">
        <v>132</v>
      </c>
      <c r="N76" s="5" t="s">
        <v>50</v>
      </c>
      <c r="O76" s="5" t="s">
        <v>51</v>
      </c>
      <c r="P76" s="15">
        <v>233565899</v>
      </c>
      <c r="Q76" s="13"/>
      <c r="R76" s="13"/>
      <c r="S76" s="13"/>
      <c r="T76" s="13">
        <v>32597999</v>
      </c>
      <c r="U76" s="13"/>
      <c r="V76" s="13"/>
      <c r="W76" s="13">
        <v>200967900</v>
      </c>
      <c r="X76" s="13"/>
      <c r="Y76" s="13"/>
      <c r="Z76" s="13"/>
      <c r="AA76" s="13"/>
      <c r="AB76" s="13"/>
      <c r="AC76" s="4">
        <f t="shared" si="1"/>
        <v>233565899</v>
      </c>
    </row>
    <row r="77" spans="3:29" ht="38.25" x14ac:dyDescent="0.25">
      <c r="C77" s="5" t="s">
        <v>27</v>
      </c>
      <c r="D77" s="5" t="s">
        <v>28</v>
      </c>
      <c r="E77" s="5" t="s">
        <v>27</v>
      </c>
      <c r="F77" s="5" t="s">
        <v>28</v>
      </c>
      <c r="G77" s="5" t="s">
        <v>29</v>
      </c>
      <c r="H77" s="5" t="s">
        <v>30</v>
      </c>
      <c r="I77" s="5" t="s">
        <v>31</v>
      </c>
      <c r="J77" s="5" t="s">
        <v>32</v>
      </c>
      <c r="K77" s="5" t="s">
        <v>128</v>
      </c>
      <c r="L77" s="5" t="s">
        <v>129</v>
      </c>
      <c r="M77" s="5" t="s">
        <v>133</v>
      </c>
      <c r="N77" s="5" t="s">
        <v>44</v>
      </c>
      <c r="O77" s="5" t="s">
        <v>45</v>
      </c>
      <c r="P77" s="15">
        <v>1801943000</v>
      </c>
      <c r="Q77" s="13"/>
      <c r="R77" s="13"/>
      <c r="S77" s="13"/>
      <c r="T77" s="13"/>
      <c r="U77" s="13">
        <v>195636000</v>
      </c>
      <c r="V77" s="13"/>
      <c r="W77" s="13"/>
      <c r="X77" s="13">
        <v>445864500</v>
      </c>
      <c r="Y77" s="13"/>
      <c r="Z77" s="13">
        <v>445864500</v>
      </c>
      <c r="AA77" s="13">
        <v>714578000</v>
      </c>
      <c r="AB77" s="13"/>
      <c r="AC77" s="4">
        <f t="shared" si="1"/>
        <v>1801943000</v>
      </c>
    </row>
    <row r="78" spans="3:29" ht="38.25" x14ac:dyDescent="0.25">
      <c r="C78" s="5" t="s">
        <v>27</v>
      </c>
      <c r="D78" s="5" t="s">
        <v>28</v>
      </c>
      <c r="E78" s="5" t="s">
        <v>27</v>
      </c>
      <c r="F78" s="5" t="s">
        <v>28</v>
      </c>
      <c r="G78" s="5" t="s">
        <v>29</v>
      </c>
      <c r="H78" s="5" t="s">
        <v>30</v>
      </c>
      <c r="I78" s="5" t="s">
        <v>31</v>
      </c>
      <c r="J78" s="5" t="s">
        <v>32</v>
      </c>
      <c r="K78" s="5" t="s">
        <v>128</v>
      </c>
      <c r="L78" s="5" t="s">
        <v>129</v>
      </c>
      <c r="M78" s="5" t="s">
        <v>47</v>
      </c>
      <c r="N78" s="5" t="s">
        <v>48</v>
      </c>
      <c r="O78" s="5" t="s">
        <v>49</v>
      </c>
      <c r="P78" s="15">
        <v>1363783140</v>
      </c>
      <c r="Q78" s="13"/>
      <c r="R78" s="13"/>
      <c r="S78" s="13"/>
      <c r="T78" s="13"/>
      <c r="U78" s="13">
        <v>176572500</v>
      </c>
      <c r="V78" s="13"/>
      <c r="W78" s="13"/>
      <c r="X78" s="13">
        <v>1187210640</v>
      </c>
      <c r="Y78" s="13"/>
      <c r="Z78" s="13"/>
      <c r="AA78" s="13"/>
      <c r="AB78" s="13"/>
      <c r="AC78" s="4">
        <f t="shared" si="1"/>
        <v>1363783140</v>
      </c>
    </row>
    <row r="79" spans="3:29" ht="38.25" x14ac:dyDescent="0.25">
      <c r="C79" s="5" t="s">
        <v>27</v>
      </c>
      <c r="D79" s="5" t="s">
        <v>28</v>
      </c>
      <c r="E79" s="5" t="s">
        <v>27</v>
      </c>
      <c r="F79" s="5" t="s">
        <v>28</v>
      </c>
      <c r="G79" s="5" t="s">
        <v>29</v>
      </c>
      <c r="H79" s="5" t="s">
        <v>30</v>
      </c>
      <c r="I79" s="5" t="s">
        <v>31</v>
      </c>
      <c r="J79" s="5" t="s">
        <v>32</v>
      </c>
      <c r="K79" s="5" t="s">
        <v>128</v>
      </c>
      <c r="L79" s="5" t="s">
        <v>129</v>
      </c>
      <c r="M79" s="5" t="s">
        <v>47</v>
      </c>
      <c r="N79" s="5" t="s">
        <v>44</v>
      </c>
      <c r="O79" s="5" t="s">
        <v>45</v>
      </c>
      <c r="P79" s="15">
        <v>960176799</v>
      </c>
      <c r="Q79" s="13"/>
      <c r="R79" s="13"/>
      <c r="S79" s="13"/>
      <c r="T79" s="13"/>
      <c r="U79" s="13">
        <v>118441499</v>
      </c>
      <c r="V79" s="13"/>
      <c r="W79" s="13">
        <v>21391800</v>
      </c>
      <c r="X79" s="13">
        <v>820343500</v>
      </c>
      <c r="Y79" s="13"/>
      <c r="Z79" s="13"/>
      <c r="AA79" s="13"/>
      <c r="AB79" s="13"/>
      <c r="AC79" s="4">
        <f t="shared" si="1"/>
        <v>960176799</v>
      </c>
    </row>
    <row r="80" spans="3:29" ht="76.5" x14ac:dyDescent="0.25">
      <c r="C80" s="5" t="s">
        <v>27</v>
      </c>
      <c r="D80" s="5" t="s">
        <v>28</v>
      </c>
      <c r="E80" s="5" t="s">
        <v>27</v>
      </c>
      <c r="F80" s="5" t="s">
        <v>28</v>
      </c>
      <c r="G80" s="5" t="s">
        <v>29</v>
      </c>
      <c r="H80" s="5" t="s">
        <v>30</v>
      </c>
      <c r="I80" s="5" t="s">
        <v>31</v>
      </c>
      <c r="J80" s="5" t="s">
        <v>32</v>
      </c>
      <c r="K80" s="5" t="s">
        <v>128</v>
      </c>
      <c r="L80" s="5" t="s">
        <v>129</v>
      </c>
      <c r="M80" s="5" t="s">
        <v>47</v>
      </c>
      <c r="N80" s="5" t="s">
        <v>52</v>
      </c>
      <c r="O80" s="5" t="s">
        <v>53</v>
      </c>
      <c r="P80" s="15">
        <v>275064000</v>
      </c>
      <c r="Q80" s="13"/>
      <c r="R80" s="13"/>
      <c r="S80" s="13"/>
      <c r="T80" s="13">
        <v>33252000</v>
      </c>
      <c r="U80" s="13"/>
      <c r="V80" s="13"/>
      <c r="W80" s="13">
        <v>241812000</v>
      </c>
      <c r="X80" s="13"/>
      <c r="Y80" s="13"/>
      <c r="Z80" s="13"/>
      <c r="AA80" s="13"/>
      <c r="AB80" s="13"/>
      <c r="AC80" s="4">
        <f t="shared" si="1"/>
        <v>275064000</v>
      </c>
    </row>
    <row r="81" spans="3:29" ht="38.25" x14ac:dyDescent="0.25">
      <c r="C81" s="5" t="s">
        <v>27</v>
      </c>
      <c r="D81" s="5" t="s">
        <v>28</v>
      </c>
      <c r="E81" s="5" t="s">
        <v>27</v>
      </c>
      <c r="F81" s="5" t="s">
        <v>28</v>
      </c>
      <c r="G81" s="5" t="s">
        <v>29</v>
      </c>
      <c r="H81" s="5" t="s">
        <v>30</v>
      </c>
      <c r="I81" s="5" t="s">
        <v>31</v>
      </c>
      <c r="J81" s="5" t="s">
        <v>32</v>
      </c>
      <c r="K81" s="5" t="s">
        <v>128</v>
      </c>
      <c r="L81" s="5" t="s">
        <v>129</v>
      </c>
      <c r="M81" s="5" t="s">
        <v>115</v>
      </c>
      <c r="N81" s="5" t="s">
        <v>44</v>
      </c>
      <c r="O81" s="5" t="s">
        <v>45</v>
      </c>
      <c r="P81" s="15">
        <v>2706298093</v>
      </c>
      <c r="Q81" s="13"/>
      <c r="R81" s="13"/>
      <c r="S81" s="13"/>
      <c r="T81" s="13">
        <v>359141993</v>
      </c>
      <c r="U81" s="13"/>
      <c r="V81" s="13"/>
      <c r="W81" s="13">
        <v>2347156100</v>
      </c>
      <c r="X81" s="13"/>
      <c r="Y81" s="13"/>
      <c r="Z81" s="13"/>
      <c r="AA81" s="13"/>
      <c r="AB81" s="13"/>
      <c r="AC81" s="4">
        <f t="shared" si="1"/>
        <v>2706298093</v>
      </c>
    </row>
    <row r="82" spans="3:29" ht="51" x14ac:dyDescent="0.25">
      <c r="C82" s="5" t="s">
        <v>27</v>
      </c>
      <c r="D82" s="5" t="s">
        <v>28</v>
      </c>
      <c r="E82" s="5" t="s">
        <v>27</v>
      </c>
      <c r="F82" s="5" t="s">
        <v>28</v>
      </c>
      <c r="G82" s="5" t="s">
        <v>29</v>
      </c>
      <c r="H82" s="5" t="s">
        <v>30</v>
      </c>
      <c r="I82" s="5" t="s">
        <v>31</v>
      </c>
      <c r="J82" s="5" t="s">
        <v>32</v>
      </c>
      <c r="K82" s="5" t="s">
        <v>128</v>
      </c>
      <c r="L82" s="5" t="s">
        <v>129</v>
      </c>
      <c r="M82" s="5" t="s">
        <v>57</v>
      </c>
      <c r="N82" s="5" t="s">
        <v>44</v>
      </c>
      <c r="O82" s="5" t="s">
        <v>45</v>
      </c>
      <c r="P82" s="15">
        <v>132372600</v>
      </c>
      <c r="Q82" s="13"/>
      <c r="R82" s="13"/>
      <c r="S82" s="13"/>
      <c r="T82" s="13">
        <v>18110000</v>
      </c>
      <c r="U82" s="13"/>
      <c r="V82" s="13">
        <v>114262600</v>
      </c>
      <c r="W82" s="13"/>
      <c r="X82" s="13"/>
      <c r="Y82" s="13"/>
      <c r="Z82" s="13"/>
      <c r="AA82" s="13"/>
      <c r="AB82" s="13"/>
      <c r="AC82" s="4">
        <f t="shared" si="1"/>
        <v>132372600</v>
      </c>
    </row>
    <row r="83" spans="3:29" ht="51" x14ac:dyDescent="0.25">
      <c r="C83" s="5" t="s">
        <v>27</v>
      </c>
      <c r="D83" s="5" t="s">
        <v>28</v>
      </c>
      <c r="E83" s="5" t="s">
        <v>27</v>
      </c>
      <c r="F83" s="5" t="s">
        <v>28</v>
      </c>
      <c r="G83" s="5" t="s">
        <v>29</v>
      </c>
      <c r="H83" s="5" t="s">
        <v>30</v>
      </c>
      <c r="I83" s="5" t="s">
        <v>31</v>
      </c>
      <c r="J83" s="5" t="s">
        <v>32</v>
      </c>
      <c r="K83" s="5" t="s">
        <v>128</v>
      </c>
      <c r="L83" s="5" t="s">
        <v>129</v>
      </c>
      <c r="M83" s="5" t="s">
        <v>58</v>
      </c>
      <c r="N83" s="5" t="s">
        <v>44</v>
      </c>
      <c r="O83" s="5" t="s">
        <v>45</v>
      </c>
      <c r="P83" s="15">
        <v>241570299</v>
      </c>
      <c r="Q83" s="13"/>
      <c r="R83" s="13"/>
      <c r="S83" s="13"/>
      <c r="T83" s="13">
        <v>33503499</v>
      </c>
      <c r="U83" s="13"/>
      <c r="V83" s="13">
        <v>208066800</v>
      </c>
      <c r="W83" s="13"/>
      <c r="X83" s="13"/>
      <c r="Y83" s="13"/>
      <c r="Z83" s="13"/>
      <c r="AA83" s="13"/>
      <c r="AB83" s="13"/>
      <c r="AC83" s="4">
        <f t="shared" si="1"/>
        <v>241570299</v>
      </c>
    </row>
    <row r="84" spans="3:29" ht="38.25" x14ac:dyDescent="0.25">
      <c r="C84" s="5" t="s">
        <v>27</v>
      </c>
      <c r="D84" s="5" t="s">
        <v>28</v>
      </c>
      <c r="E84" s="5" t="s">
        <v>27</v>
      </c>
      <c r="F84" s="5" t="s">
        <v>28</v>
      </c>
      <c r="G84" s="5" t="s">
        <v>29</v>
      </c>
      <c r="H84" s="5" t="s">
        <v>30</v>
      </c>
      <c r="I84" s="5" t="s">
        <v>31</v>
      </c>
      <c r="J84" s="5" t="s">
        <v>32</v>
      </c>
      <c r="K84" s="5" t="s">
        <v>128</v>
      </c>
      <c r="L84" s="5" t="s">
        <v>129</v>
      </c>
      <c r="M84" s="5" t="s">
        <v>134</v>
      </c>
      <c r="N84" s="5" t="s">
        <v>44</v>
      </c>
      <c r="O84" s="5" t="s">
        <v>45</v>
      </c>
      <c r="P84" s="15">
        <v>416197000</v>
      </c>
      <c r="Q84" s="13"/>
      <c r="R84" s="13"/>
      <c r="S84" s="13"/>
      <c r="T84" s="13">
        <v>55855000</v>
      </c>
      <c r="U84" s="13"/>
      <c r="V84" s="13">
        <v>360342000</v>
      </c>
      <c r="W84" s="13"/>
      <c r="X84" s="13"/>
      <c r="Y84" s="13"/>
      <c r="Z84" s="13"/>
      <c r="AA84" s="13"/>
      <c r="AB84" s="13"/>
      <c r="AC84" s="4">
        <f t="shared" si="1"/>
        <v>416197000</v>
      </c>
    </row>
    <row r="85" spans="3:29" ht="76.5" x14ac:dyDescent="0.25">
      <c r="C85" s="5" t="s">
        <v>27</v>
      </c>
      <c r="D85" s="5" t="s">
        <v>28</v>
      </c>
      <c r="E85" s="5" t="s">
        <v>27</v>
      </c>
      <c r="F85" s="5" t="s">
        <v>28</v>
      </c>
      <c r="G85" s="5" t="s">
        <v>29</v>
      </c>
      <c r="H85" s="5" t="s">
        <v>30</v>
      </c>
      <c r="I85" s="5" t="s">
        <v>31</v>
      </c>
      <c r="J85" s="5" t="s">
        <v>32</v>
      </c>
      <c r="K85" s="5" t="s">
        <v>128</v>
      </c>
      <c r="L85" s="5" t="s">
        <v>129</v>
      </c>
      <c r="M85" s="5" t="s">
        <v>135</v>
      </c>
      <c r="N85" s="5" t="s">
        <v>44</v>
      </c>
      <c r="O85" s="5" t="s">
        <v>45</v>
      </c>
      <c r="P85" s="15">
        <v>130990000</v>
      </c>
      <c r="Q85" s="13"/>
      <c r="R85" s="13"/>
      <c r="S85" s="13"/>
      <c r="T85" s="13">
        <v>18110000</v>
      </c>
      <c r="U85" s="13"/>
      <c r="V85" s="13">
        <v>112880000</v>
      </c>
      <c r="W85" s="13"/>
      <c r="X85" s="13"/>
      <c r="Y85" s="13"/>
      <c r="Z85" s="13"/>
      <c r="AA85" s="13"/>
      <c r="AB85" s="13"/>
      <c r="AC85" s="4">
        <f t="shared" si="1"/>
        <v>130990000</v>
      </c>
    </row>
    <row r="86" spans="3:29" ht="51" x14ac:dyDescent="0.25">
      <c r="C86" s="5" t="s">
        <v>27</v>
      </c>
      <c r="D86" s="5" t="s">
        <v>28</v>
      </c>
      <c r="E86" s="5" t="s">
        <v>27</v>
      </c>
      <c r="F86" s="5" t="s">
        <v>28</v>
      </c>
      <c r="G86" s="5" t="s">
        <v>29</v>
      </c>
      <c r="H86" s="5" t="s">
        <v>30</v>
      </c>
      <c r="I86" s="5" t="s">
        <v>31</v>
      </c>
      <c r="J86" s="5" t="s">
        <v>32</v>
      </c>
      <c r="K86" s="5" t="s">
        <v>128</v>
      </c>
      <c r="L86" s="5" t="s">
        <v>129</v>
      </c>
      <c r="M86" s="5" t="s">
        <v>114</v>
      </c>
      <c r="N86" s="5" t="s">
        <v>44</v>
      </c>
      <c r="O86" s="5" t="s">
        <v>45</v>
      </c>
      <c r="P86" s="15">
        <v>988600000</v>
      </c>
      <c r="Q86" s="13"/>
      <c r="R86" s="13"/>
      <c r="S86" s="13">
        <v>148502000</v>
      </c>
      <c r="T86" s="13"/>
      <c r="U86" s="13"/>
      <c r="V86" s="13">
        <v>840098000</v>
      </c>
      <c r="W86" s="13"/>
      <c r="X86" s="13"/>
      <c r="Y86" s="13"/>
      <c r="Z86" s="13"/>
      <c r="AA86" s="13"/>
      <c r="AB86" s="13"/>
      <c r="AC86" s="4">
        <f t="shared" si="1"/>
        <v>988600000</v>
      </c>
    </row>
    <row r="87" spans="3:29" ht="38.25" x14ac:dyDescent="0.25">
      <c r="C87" s="5" t="s">
        <v>27</v>
      </c>
      <c r="D87" s="5" t="s">
        <v>28</v>
      </c>
      <c r="E87" s="5" t="s">
        <v>27</v>
      </c>
      <c r="F87" s="5" t="s">
        <v>28</v>
      </c>
      <c r="G87" s="5" t="s">
        <v>29</v>
      </c>
      <c r="H87" s="5" t="s">
        <v>30</v>
      </c>
      <c r="I87" s="5" t="s">
        <v>31</v>
      </c>
      <c r="J87" s="5" t="s">
        <v>32</v>
      </c>
      <c r="K87" s="5" t="s">
        <v>128</v>
      </c>
      <c r="L87" s="5" t="s">
        <v>129</v>
      </c>
      <c r="M87" s="5" t="s">
        <v>59</v>
      </c>
      <c r="N87" s="5" t="s">
        <v>38</v>
      </c>
      <c r="O87" s="5" t="s">
        <v>39</v>
      </c>
      <c r="P87" s="15">
        <v>1687750000</v>
      </c>
      <c r="Q87" s="13"/>
      <c r="R87" s="13"/>
      <c r="S87" s="13"/>
      <c r="T87" s="13">
        <v>1687750000</v>
      </c>
      <c r="U87" s="13"/>
      <c r="V87" s="13"/>
      <c r="W87" s="13"/>
      <c r="X87" s="13"/>
      <c r="Y87" s="13"/>
      <c r="Z87" s="13"/>
      <c r="AA87" s="13"/>
      <c r="AB87" s="13">
        <v>0</v>
      </c>
      <c r="AC87" s="13">
        <f t="shared" si="1"/>
        <v>1687750000</v>
      </c>
    </row>
    <row r="88" spans="3:29" ht="51" x14ac:dyDescent="0.25">
      <c r="C88" s="5" t="s">
        <v>27</v>
      </c>
      <c r="D88" s="5" t="s">
        <v>28</v>
      </c>
      <c r="E88" s="5" t="s">
        <v>27</v>
      </c>
      <c r="F88" s="5" t="s">
        <v>28</v>
      </c>
      <c r="G88" s="5" t="s">
        <v>29</v>
      </c>
      <c r="H88" s="5" t="s">
        <v>30</v>
      </c>
      <c r="I88" s="5" t="s">
        <v>31</v>
      </c>
      <c r="J88" s="5" t="s">
        <v>32</v>
      </c>
      <c r="K88" s="5" t="s">
        <v>128</v>
      </c>
      <c r="L88" s="5" t="s">
        <v>129</v>
      </c>
      <c r="M88" s="5" t="s">
        <v>136</v>
      </c>
      <c r="N88" s="5" t="s">
        <v>117</v>
      </c>
      <c r="O88" s="5" t="s">
        <v>118</v>
      </c>
      <c r="P88" s="15">
        <v>1288900000</v>
      </c>
      <c r="Q88" s="13"/>
      <c r="R88" s="13"/>
      <c r="S88" s="13"/>
      <c r="T88" s="13">
        <v>322225000</v>
      </c>
      <c r="U88" s="13"/>
      <c r="V88" s="13"/>
      <c r="W88" s="13">
        <v>322225000</v>
      </c>
      <c r="X88" s="13"/>
      <c r="Y88" s="13"/>
      <c r="Z88" s="13">
        <v>322225000</v>
      </c>
      <c r="AA88" s="13"/>
      <c r="AB88" s="13">
        <v>322225000</v>
      </c>
      <c r="AC88" s="4">
        <f t="shared" si="1"/>
        <v>1288900000</v>
      </c>
    </row>
    <row r="89" spans="3:29" ht="51" x14ac:dyDescent="0.25">
      <c r="C89" s="5" t="s">
        <v>27</v>
      </c>
      <c r="D89" s="5" t="s">
        <v>28</v>
      </c>
      <c r="E89" s="5" t="s">
        <v>27</v>
      </c>
      <c r="F89" s="5" t="s">
        <v>28</v>
      </c>
      <c r="G89" s="5" t="s">
        <v>29</v>
      </c>
      <c r="H89" s="5" t="s">
        <v>30</v>
      </c>
      <c r="I89" s="5" t="s">
        <v>31</v>
      </c>
      <c r="J89" s="5" t="s">
        <v>32</v>
      </c>
      <c r="K89" s="5" t="s">
        <v>128</v>
      </c>
      <c r="L89" s="5" t="s">
        <v>129</v>
      </c>
      <c r="M89" s="14" t="s">
        <v>136</v>
      </c>
      <c r="N89" s="14" t="s">
        <v>119</v>
      </c>
      <c r="O89" s="14" t="s">
        <v>120</v>
      </c>
      <c r="P89" s="15">
        <v>8466000000</v>
      </c>
      <c r="Q89" s="13"/>
      <c r="R89" s="13"/>
      <c r="S89" s="13"/>
      <c r="T89" s="13"/>
      <c r="U89" s="10">
        <v>400000000</v>
      </c>
      <c r="V89" s="4"/>
      <c r="W89" s="13">
        <v>0</v>
      </c>
      <c r="X89" s="10">
        <v>3833000000</v>
      </c>
      <c r="Y89" s="4"/>
      <c r="Z89" s="13">
        <v>0</v>
      </c>
      <c r="AA89" s="4"/>
      <c r="AB89" s="10">
        <v>4233000000</v>
      </c>
      <c r="AC89" s="4">
        <f t="shared" si="1"/>
        <v>8466000000</v>
      </c>
    </row>
    <row r="90" spans="3:29" ht="51" x14ac:dyDescent="0.25">
      <c r="C90" s="5" t="s">
        <v>27</v>
      </c>
      <c r="D90" s="5" t="s">
        <v>28</v>
      </c>
      <c r="E90" s="5" t="s">
        <v>27</v>
      </c>
      <c r="F90" s="5" t="s">
        <v>28</v>
      </c>
      <c r="G90" s="5" t="s">
        <v>29</v>
      </c>
      <c r="H90" s="5" t="s">
        <v>30</v>
      </c>
      <c r="I90" s="5" t="s">
        <v>31</v>
      </c>
      <c r="J90" s="5" t="s">
        <v>32</v>
      </c>
      <c r="K90" s="5" t="s">
        <v>128</v>
      </c>
      <c r="L90" s="5" t="s">
        <v>129</v>
      </c>
      <c r="M90" s="5" t="s">
        <v>60</v>
      </c>
      <c r="N90" s="5" t="s">
        <v>61</v>
      </c>
      <c r="O90" s="5" t="s">
        <v>62</v>
      </c>
      <c r="P90" s="15">
        <v>111205000</v>
      </c>
      <c r="Q90" s="13"/>
      <c r="R90" s="13">
        <v>97128000</v>
      </c>
      <c r="S90" s="13"/>
      <c r="T90" s="13">
        <v>14077000</v>
      </c>
      <c r="U90" s="13">
        <v>0</v>
      </c>
      <c r="V90" s="13"/>
      <c r="W90" s="13"/>
      <c r="X90" s="13"/>
      <c r="Y90" s="13"/>
      <c r="Z90" s="13"/>
      <c r="AA90" s="13"/>
      <c r="AB90" s="13"/>
      <c r="AC90" s="4">
        <f t="shared" si="1"/>
        <v>111205000</v>
      </c>
    </row>
    <row r="91" spans="3:29" ht="51" x14ac:dyDescent="0.25">
      <c r="C91" s="5" t="s">
        <v>27</v>
      </c>
      <c r="D91" s="5" t="s">
        <v>28</v>
      </c>
      <c r="E91" s="5" t="s">
        <v>27</v>
      </c>
      <c r="F91" s="5" t="s">
        <v>28</v>
      </c>
      <c r="G91" s="5" t="s">
        <v>29</v>
      </c>
      <c r="H91" s="5" t="s">
        <v>30</v>
      </c>
      <c r="I91" s="5" t="s">
        <v>31</v>
      </c>
      <c r="J91" s="5" t="s">
        <v>32</v>
      </c>
      <c r="K91" s="5" t="s">
        <v>128</v>
      </c>
      <c r="L91" s="5" t="s">
        <v>129</v>
      </c>
      <c r="M91" s="5" t="s">
        <v>60</v>
      </c>
      <c r="N91" s="5" t="s">
        <v>63</v>
      </c>
      <c r="O91" s="5" t="s">
        <v>64</v>
      </c>
      <c r="P91" s="15">
        <v>9225000</v>
      </c>
      <c r="Q91" s="13"/>
      <c r="R91" s="13"/>
      <c r="S91" s="13"/>
      <c r="T91" s="13">
        <v>9225000</v>
      </c>
      <c r="U91" s="13"/>
      <c r="V91" s="13"/>
      <c r="W91" s="13"/>
      <c r="X91" s="13"/>
      <c r="Y91" s="13"/>
      <c r="Z91" s="13"/>
      <c r="AA91" s="13"/>
      <c r="AB91" s="13"/>
      <c r="AC91" s="4">
        <f t="shared" si="1"/>
        <v>9225000</v>
      </c>
    </row>
    <row r="92" spans="3:29" ht="76.5" x14ac:dyDescent="0.25">
      <c r="C92" s="5" t="s">
        <v>27</v>
      </c>
      <c r="D92" s="5" t="s">
        <v>28</v>
      </c>
      <c r="E92" s="5" t="s">
        <v>27</v>
      </c>
      <c r="F92" s="5" t="s">
        <v>28</v>
      </c>
      <c r="G92" s="5" t="s">
        <v>29</v>
      </c>
      <c r="H92" s="5" t="s">
        <v>30</v>
      </c>
      <c r="I92" s="5" t="s">
        <v>31</v>
      </c>
      <c r="J92" s="5" t="s">
        <v>32</v>
      </c>
      <c r="K92" s="5" t="s">
        <v>128</v>
      </c>
      <c r="L92" s="5" t="s">
        <v>129</v>
      </c>
      <c r="M92" s="5" t="s">
        <v>60</v>
      </c>
      <c r="N92" s="5" t="s">
        <v>122</v>
      </c>
      <c r="O92" s="5" t="s">
        <v>123</v>
      </c>
      <c r="P92" s="15">
        <v>4088000</v>
      </c>
      <c r="Q92" s="13"/>
      <c r="R92" s="13"/>
      <c r="S92" s="13"/>
      <c r="T92" s="13">
        <v>4088000</v>
      </c>
      <c r="U92" s="13">
        <v>0</v>
      </c>
      <c r="V92" s="13"/>
      <c r="W92" s="13"/>
      <c r="X92" s="13"/>
      <c r="Y92" s="13"/>
      <c r="Z92" s="13"/>
      <c r="AA92" s="13"/>
      <c r="AB92" s="13"/>
      <c r="AC92" s="4">
        <f t="shared" si="1"/>
        <v>4088000</v>
      </c>
    </row>
    <row r="93" spans="3:29" ht="51" x14ac:dyDescent="0.25">
      <c r="C93" s="5" t="s">
        <v>27</v>
      </c>
      <c r="D93" s="5" t="s">
        <v>28</v>
      </c>
      <c r="E93" s="5" t="s">
        <v>27</v>
      </c>
      <c r="F93" s="5" t="s">
        <v>28</v>
      </c>
      <c r="G93" s="5" t="s">
        <v>29</v>
      </c>
      <c r="H93" s="5" t="s">
        <v>30</v>
      </c>
      <c r="I93" s="5" t="s">
        <v>31</v>
      </c>
      <c r="J93" s="5" t="s">
        <v>32</v>
      </c>
      <c r="K93" s="5" t="s">
        <v>128</v>
      </c>
      <c r="L93" s="5" t="s">
        <v>129</v>
      </c>
      <c r="M93" s="5" t="s">
        <v>60</v>
      </c>
      <c r="N93" s="5" t="s">
        <v>50</v>
      </c>
      <c r="O93" s="5" t="s">
        <v>51</v>
      </c>
      <c r="P93" s="15">
        <v>106269300</v>
      </c>
      <c r="Q93" s="13">
        <v>0</v>
      </c>
      <c r="R93" s="13">
        <v>35900000</v>
      </c>
      <c r="S93" s="13">
        <v>0</v>
      </c>
      <c r="T93" s="13">
        <v>51597300</v>
      </c>
      <c r="U93" s="13">
        <v>0</v>
      </c>
      <c r="V93" s="13">
        <v>18772000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4">
        <f t="shared" si="1"/>
        <v>106269300</v>
      </c>
    </row>
    <row r="94" spans="3:29" ht="38.25" x14ac:dyDescent="0.25">
      <c r="C94" s="5" t="s">
        <v>27</v>
      </c>
      <c r="D94" s="5" t="s">
        <v>28</v>
      </c>
      <c r="E94" s="5" t="s">
        <v>27</v>
      </c>
      <c r="F94" s="5" t="s">
        <v>28</v>
      </c>
      <c r="G94" s="5" t="s">
        <v>29</v>
      </c>
      <c r="H94" s="5" t="s">
        <v>30</v>
      </c>
      <c r="I94" s="5" t="s">
        <v>31</v>
      </c>
      <c r="J94" s="5" t="s">
        <v>32</v>
      </c>
      <c r="K94" s="5" t="s">
        <v>128</v>
      </c>
      <c r="L94" s="5" t="s">
        <v>129</v>
      </c>
      <c r="M94" s="5" t="s">
        <v>60</v>
      </c>
      <c r="N94" s="5" t="s">
        <v>101</v>
      </c>
      <c r="O94" s="5" t="s">
        <v>102</v>
      </c>
      <c r="P94" s="15">
        <v>242000000</v>
      </c>
      <c r="Q94" s="13"/>
      <c r="R94" s="13">
        <v>218400000</v>
      </c>
      <c r="S94" s="13">
        <v>0</v>
      </c>
      <c r="T94" s="13">
        <v>23600000</v>
      </c>
      <c r="U94" s="13">
        <v>0</v>
      </c>
      <c r="V94" s="13"/>
      <c r="W94" s="13"/>
      <c r="X94" s="13"/>
      <c r="Y94" s="13"/>
      <c r="Z94" s="13"/>
      <c r="AA94" s="13"/>
      <c r="AB94" s="13"/>
      <c r="AC94" s="4">
        <f t="shared" si="1"/>
        <v>242000000</v>
      </c>
    </row>
    <row r="95" spans="3:29" ht="38.25" x14ac:dyDescent="0.25">
      <c r="C95" s="5" t="s">
        <v>27</v>
      </c>
      <c r="D95" s="5" t="s">
        <v>28</v>
      </c>
      <c r="E95" s="5" t="s">
        <v>27</v>
      </c>
      <c r="F95" s="5" t="s">
        <v>28</v>
      </c>
      <c r="G95" s="5" t="s">
        <v>29</v>
      </c>
      <c r="H95" s="5" t="s">
        <v>30</v>
      </c>
      <c r="I95" s="5" t="s">
        <v>31</v>
      </c>
      <c r="J95" s="5" t="s">
        <v>32</v>
      </c>
      <c r="K95" s="5" t="s">
        <v>128</v>
      </c>
      <c r="L95" s="5" t="s">
        <v>129</v>
      </c>
      <c r="M95" s="5" t="s">
        <v>60</v>
      </c>
      <c r="N95" s="5" t="s">
        <v>282</v>
      </c>
      <c r="O95" s="5" t="s">
        <v>283</v>
      </c>
      <c r="P95" s="15">
        <v>2200000</v>
      </c>
      <c r="Q95" s="13"/>
      <c r="R95" s="13"/>
      <c r="S95" s="13"/>
      <c r="T95" s="13">
        <v>2200000</v>
      </c>
      <c r="U95" s="13">
        <v>0</v>
      </c>
      <c r="V95" s="13"/>
      <c r="W95" s="13"/>
      <c r="X95" s="13"/>
      <c r="Y95" s="13"/>
      <c r="Z95" s="13"/>
      <c r="AA95" s="13"/>
      <c r="AB95" s="13"/>
      <c r="AC95" s="4">
        <f t="shared" si="1"/>
        <v>2200000</v>
      </c>
    </row>
    <row r="96" spans="3:29" ht="51" x14ac:dyDescent="0.25">
      <c r="C96" s="5" t="s">
        <v>27</v>
      </c>
      <c r="D96" s="5" t="s">
        <v>28</v>
      </c>
      <c r="E96" s="5" t="s">
        <v>27</v>
      </c>
      <c r="F96" s="5" t="s">
        <v>28</v>
      </c>
      <c r="G96" s="5" t="s">
        <v>29</v>
      </c>
      <c r="H96" s="5" t="s">
        <v>30</v>
      </c>
      <c r="I96" s="5" t="s">
        <v>31</v>
      </c>
      <c r="J96" s="5" t="s">
        <v>32</v>
      </c>
      <c r="K96" s="5" t="s">
        <v>128</v>
      </c>
      <c r="L96" s="5" t="s">
        <v>129</v>
      </c>
      <c r="M96" s="5" t="s">
        <v>60</v>
      </c>
      <c r="N96" s="5" t="s">
        <v>356</v>
      </c>
      <c r="O96" s="5" t="s">
        <v>355</v>
      </c>
      <c r="P96" s="15">
        <v>315000000</v>
      </c>
      <c r="Q96" s="13"/>
      <c r="R96" s="13"/>
      <c r="S96" s="13"/>
      <c r="T96" s="13"/>
      <c r="U96" s="13"/>
      <c r="V96" s="15">
        <v>315000000</v>
      </c>
      <c r="W96" s="13"/>
      <c r="X96" s="13"/>
      <c r="Y96" s="13"/>
      <c r="Z96" s="13"/>
      <c r="AA96" s="13"/>
      <c r="AB96" s="13"/>
      <c r="AC96" s="4">
        <f t="shared" si="1"/>
        <v>315000000</v>
      </c>
    </row>
    <row r="97" spans="3:29" ht="76.5" x14ac:dyDescent="0.25">
      <c r="C97" s="5" t="s">
        <v>27</v>
      </c>
      <c r="D97" s="5" t="s">
        <v>28</v>
      </c>
      <c r="E97" s="5" t="s">
        <v>27</v>
      </c>
      <c r="F97" s="5" t="s">
        <v>28</v>
      </c>
      <c r="G97" s="5" t="s">
        <v>29</v>
      </c>
      <c r="H97" s="5" t="s">
        <v>30</v>
      </c>
      <c r="I97" s="5" t="s">
        <v>31</v>
      </c>
      <c r="J97" s="5" t="s">
        <v>32</v>
      </c>
      <c r="K97" s="5" t="s">
        <v>128</v>
      </c>
      <c r="L97" s="5" t="s">
        <v>129</v>
      </c>
      <c r="M97" s="5" t="s">
        <v>60</v>
      </c>
      <c r="N97" s="5" t="s">
        <v>69</v>
      </c>
      <c r="O97" s="5" t="s">
        <v>70</v>
      </c>
      <c r="P97" s="15">
        <v>84500000</v>
      </c>
      <c r="Q97" s="13"/>
      <c r="R97" s="13">
        <v>51000000</v>
      </c>
      <c r="S97" s="13"/>
      <c r="T97" s="13">
        <v>33500000</v>
      </c>
      <c r="U97" s="13">
        <v>0</v>
      </c>
      <c r="V97" s="13"/>
      <c r="W97" s="13"/>
      <c r="X97" s="13"/>
      <c r="Y97" s="13"/>
      <c r="Z97" s="13"/>
      <c r="AA97" s="13"/>
      <c r="AB97" s="13"/>
      <c r="AC97" s="4">
        <f t="shared" si="1"/>
        <v>84500000</v>
      </c>
    </row>
    <row r="98" spans="3:29" ht="51" x14ac:dyDescent="0.25">
      <c r="C98" s="5" t="s">
        <v>27</v>
      </c>
      <c r="D98" s="5" t="s">
        <v>28</v>
      </c>
      <c r="E98" s="5" t="s">
        <v>27</v>
      </c>
      <c r="F98" s="5" t="s">
        <v>28</v>
      </c>
      <c r="G98" s="5" t="s">
        <v>29</v>
      </c>
      <c r="H98" s="5" t="s">
        <v>30</v>
      </c>
      <c r="I98" s="5" t="s">
        <v>31</v>
      </c>
      <c r="J98" s="5" t="s">
        <v>32</v>
      </c>
      <c r="K98" s="5" t="s">
        <v>128</v>
      </c>
      <c r="L98" s="5" t="s">
        <v>129</v>
      </c>
      <c r="M98" s="5" t="s">
        <v>60</v>
      </c>
      <c r="N98" s="5" t="s">
        <v>137</v>
      </c>
      <c r="O98" s="5" t="s">
        <v>138</v>
      </c>
      <c r="P98" s="15">
        <v>64000000</v>
      </c>
      <c r="Q98" s="13"/>
      <c r="R98" s="13"/>
      <c r="S98" s="13"/>
      <c r="T98" s="13">
        <v>64000000</v>
      </c>
      <c r="U98" s="13">
        <v>0</v>
      </c>
      <c r="V98" s="13"/>
      <c r="W98" s="13"/>
      <c r="X98" s="13"/>
      <c r="Y98" s="13"/>
      <c r="Z98" s="13"/>
      <c r="AA98" s="13"/>
      <c r="AB98" s="13"/>
      <c r="AC98" s="4">
        <f t="shared" si="1"/>
        <v>64000000</v>
      </c>
    </row>
    <row r="99" spans="3:29" ht="38.25" x14ac:dyDescent="0.25">
      <c r="C99" s="5" t="s">
        <v>27</v>
      </c>
      <c r="D99" s="5" t="s">
        <v>28</v>
      </c>
      <c r="E99" s="5" t="s">
        <v>27</v>
      </c>
      <c r="F99" s="5" t="s">
        <v>28</v>
      </c>
      <c r="G99" s="5" t="s">
        <v>29</v>
      </c>
      <c r="H99" s="5" t="s">
        <v>30</v>
      </c>
      <c r="I99" s="5" t="s">
        <v>31</v>
      </c>
      <c r="J99" s="5" t="s">
        <v>32</v>
      </c>
      <c r="K99" s="5" t="s">
        <v>128</v>
      </c>
      <c r="L99" s="5" t="s">
        <v>129</v>
      </c>
      <c r="M99" s="5" t="s">
        <v>60</v>
      </c>
      <c r="N99" s="5" t="s">
        <v>71</v>
      </c>
      <c r="O99" s="5" t="s">
        <v>72</v>
      </c>
      <c r="P99" s="15">
        <v>210000000</v>
      </c>
      <c r="Q99" s="13"/>
      <c r="R99" s="13"/>
      <c r="S99" s="13"/>
      <c r="T99" s="13"/>
      <c r="U99" s="13"/>
      <c r="V99" s="13">
        <v>210000000</v>
      </c>
      <c r="W99" s="13"/>
      <c r="X99" s="13"/>
      <c r="Y99" s="13"/>
      <c r="Z99" s="13"/>
      <c r="AA99" s="13"/>
      <c r="AB99" s="13"/>
      <c r="AC99" s="4">
        <f t="shared" si="1"/>
        <v>210000000</v>
      </c>
    </row>
    <row r="100" spans="3:29" ht="38.25" x14ac:dyDescent="0.25">
      <c r="C100" s="5" t="s">
        <v>27</v>
      </c>
      <c r="D100" s="5" t="s">
        <v>28</v>
      </c>
      <c r="E100" s="5" t="s">
        <v>27</v>
      </c>
      <c r="F100" s="5" t="s">
        <v>28</v>
      </c>
      <c r="G100" s="5" t="s">
        <v>29</v>
      </c>
      <c r="H100" s="5" t="s">
        <v>30</v>
      </c>
      <c r="I100" s="5" t="s">
        <v>31</v>
      </c>
      <c r="J100" s="5" t="s">
        <v>32</v>
      </c>
      <c r="K100" s="5" t="s">
        <v>128</v>
      </c>
      <c r="L100" s="5" t="s">
        <v>129</v>
      </c>
      <c r="M100" s="5" t="s">
        <v>60</v>
      </c>
      <c r="N100" s="5" t="s">
        <v>73</v>
      </c>
      <c r="O100" s="5" t="s">
        <v>74</v>
      </c>
      <c r="P100" s="15">
        <v>72500000</v>
      </c>
      <c r="Q100" s="13"/>
      <c r="R100" s="13"/>
      <c r="S100" s="13"/>
      <c r="T100" s="13">
        <v>52500000</v>
      </c>
      <c r="U100" s="13">
        <v>0</v>
      </c>
      <c r="V100" s="13">
        <v>20000000</v>
      </c>
      <c r="W100" s="13"/>
      <c r="X100" s="13"/>
      <c r="Y100" s="13"/>
      <c r="Z100" s="13"/>
      <c r="AA100" s="13"/>
      <c r="AB100" s="13"/>
      <c r="AC100" s="4">
        <f t="shared" si="1"/>
        <v>72500000</v>
      </c>
    </row>
    <row r="101" spans="3:29" ht="38.25" x14ac:dyDescent="0.25">
      <c r="C101" s="5" t="s">
        <v>27</v>
      </c>
      <c r="D101" s="5" t="s">
        <v>28</v>
      </c>
      <c r="E101" s="5" t="s">
        <v>27</v>
      </c>
      <c r="F101" s="5" t="s">
        <v>28</v>
      </c>
      <c r="G101" s="5" t="s">
        <v>29</v>
      </c>
      <c r="H101" s="5" t="s">
        <v>30</v>
      </c>
      <c r="I101" s="5" t="s">
        <v>31</v>
      </c>
      <c r="J101" s="5" t="s">
        <v>32</v>
      </c>
      <c r="K101" s="5" t="s">
        <v>128</v>
      </c>
      <c r="L101" s="5" t="s">
        <v>129</v>
      </c>
      <c r="M101" s="5" t="s">
        <v>60</v>
      </c>
      <c r="N101" s="5" t="s">
        <v>77</v>
      </c>
      <c r="O101" s="5" t="s">
        <v>78</v>
      </c>
      <c r="P101" s="15">
        <v>10710000</v>
      </c>
      <c r="Q101" s="13"/>
      <c r="R101" s="13"/>
      <c r="S101" s="13"/>
      <c r="T101" s="13">
        <v>10710000</v>
      </c>
      <c r="U101" s="13">
        <v>0</v>
      </c>
      <c r="V101" s="13"/>
      <c r="W101" s="13"/>
      <c r="X101" s="13"/>
      <c r="Y101" s="13"/>
      <c r="Z101" s="13"/>
      <c r="AA101" s="13"/>
      <c r="AB101" s="13"/>
      <c r="AC101" s="4">
        <f t="shared" si="1"/>
        <v>10710000</v>
      </c>
    </row>
    <row r="102" spans="3:29" ht="38.25" x14ac:dyDescent="0.25">
      <c r="C102" s="5" t="s">
        <v>27</v>
      </c>
      <c r="D102" s="5" t="s">
        <v>28</v>
      </c>
      <c r="E102" s="5" t="s">
        <v>27</v>
      </c>
      <c r="F102" s="5" t="s">
        <v>28</v>
      </c>
      <c r="G102" s="5" t="s">
        <v>29</v>
      </c>
      <c r="H102" s="5" t="s">
        <v>30</v>
      </c>
      <c r="I102" s="5" t="s">
        <v>31</v>
      </c>
      <c r="J102" s="5" t="s">
        <v>32</v>
      </c>
      <c r="K102" s="5" t="s">
        <v>128</v>
      </c>
      <c r="L102" s="5" t="s">
        <v>129</v>
      </c>
      <c r="M102" s="5" t="s">
        <v>60</v>
      </c>
      <c r="N102" s="5" t="s">
        <v>79</v>
      </c>
      <c r="O102" s="5" t="s">
        <v>80</v>
      </c>
      <c r="P102" s="15">
        <v>30780000</v>
      </c>
      <c r="Q102" s="13"/>
      <c r="R102" s="13"/>
      <c r="S102" s="13"/>
      <c r="T102" s="13"/>
      <c r="U102" s="13">
        <v>30780000</v>
      </c>
      <c r="V102" s="13"/>
      <c r="W102" s="13"/>
      <c r="X102" s="13"/>
      <c r="Y102" s="13"/>
      <c r="Z102" s="13"/>
      <c r="AA102" s="13"/>
      <c r="AB102" s="13"/>
      <c r="AC102" s="4">
        <f t="shared" si="1"/>
        <v>30780000</v>
      </c>
    </row>
    <row r="103" spans="3:29" ht="38.25" x14ac:dyDescent="0.25">
      <c r="C103" s="5" t="s">
        <v>27</v>
      </c>
      <c r="D103" s="5" t="s">
        <v>28</v>
      </c>
      <c r="E103" s="5" t="s">
        <v>27</v>
      </c>
      <c r="F103" s="5" t="s">
        <v>28</v>
      </c>
      <c r="G103" s="5" t="s">
        <v>29</v>
      </c>
      <c r="H103" s="5" t="s">
        <v>30</v>
      </c>
      <c r="I103" s="5" t="s">
        <v>31</v>
      </c>
      <c r="J103" s="5" t="s">
        <v>32</v>
      </c>
      <c r="K103" s="5" t="s">
        <v>128</v>
      </c>
      <c r="L103" s="5" t="s">
        <v>129</v>
      </c>
      <c r="M103" s="14" t="s">
        <v>60</v>
      </c>
      <c r="N103" s="14" t="s">
        <v>81</v>
      </c>
      <c r="O103" s="14" t="s">
        <v>82</v>
      </c>
      <c r="P103" s="15">
        <v>105100800</v>
      </c>
      <c r="Q103" s="13"/>
      <c r="R103" s="13"/>
      <c r="S103" s="13"/>
      <c r="T103" s="13">
        <v>30435200</v>
      </c>
      <c r="U103" s="10">
        <v>0</v>
      </c>
      <c r="V103" s="10">
        <v>74665600</v>
      </c>
      <c r="W103" s="13"/>
      <c r="X103" s="13"/>
      <c r="Y103" s="13"/>
      <c r="Z103" s="13"/>
      <c r="AA103" s="13"/>
      <c r="AB103" s="13"/>
      <c r="AC103" s="4">
        <f t="shared" si="1"/>
        <v>105100800</v>
      </c>
    </row>
    <row r="104" spans="3:29" ht="38.25" x14ac:dyDescent="0.25">
      <c r="C104" s="5" t="s">
        <v>27</v>
      </c>
      <c r="D104" s="5" t="s">
        <v>28</v>
      </c>
      <c r="E104" s="5" t="s">
        <v>27</v>
      </c>
      <c r="F104" s="5" t="s">
        <v>28</v>
      </c>
      <c r="G104" s="5" t="s">
        <v>29</v>
      </c>
      <c r="H104" s="5" t="s">
        <v>30</v>
      </c>
      <c r="I104" s="5" t="s">
        <v>31</v>
      </c>
      <c r="J104" s="5" t="s">
        <v>32</v>
      </c>
      <c r="K104" s="5" t="s">
        <v>128</v>
      </c>
      <c r="L104" s="5" t="s">
        <v>129</v>
      </c>
      <c r="M104" s="5" t="s">
        <v>60</v>
      </c>
      <c r="N104" s="5" t="s">
        <v>83</v>
      </c>
      <c r="O104" s="5" t="s">
        <v>84</v>
      </c>
      <c r="P104" s="15">
        <v>140044000</v>
      </c>
      <c r="Q104" s="13"/>
      <c r="R104" s="13"/>
      <c r="S104" s="13"/>
      <c r="T104" s="13">
        <v>54764000</v>
      </c>
      <c r="U104" s="13">
        <v>0</v>
      </c>
      <c r="V104" s="13">
        <v>6000000</v>
      </c>
      <c r="W104" s="13"/>
      <c r="X104" s="13">
        <v>79280000</v>
      </c>
      <c r="Y104" s="13"/>
      <c r="Z104" s="13"/>
      <c r="AA104" s="13"/>
      <c r="AB104" s="13"/>
      <c r="AC104" s="4">
        <f t="shared" si="1"/>
        <v>140044000</v>
      </c>
    </row>
    <row r="105" spans="3:29" ht="38.25" x14ac:dyDescent="0.25">
      <c r="C105" s="5" t="s">
        <v>27</v>
      </c>
      <c r="D105" s="5" t="s">
        <v>28</v>
      </c>
      <c r="E105" s="5" t="s">
        <v>27</v>
      </c>
      <c r="F105" s="5" t="s">
        <v>28</v>
      </c>
      <c r="G105" s="5" t="s">
        <v>29</v>
      </c>
      <c r="H105" s="5" t="s">
        <v>30</v>
      </c>
      <c r="I105" s="5" t="s">
        <v>31</v>
      </c>
      <c r="J105" s="5" t="s">
        <v>32</v>
      </c>
      <c r="K105" s="5" t="s">
        <v>128</v>
      </c>
      <c r="L105" s="5" t="s">
        <v>129</v>
      </c>
      <c r="M105" s="14" t="s">
        <v>60</v>
      </c>
      <c r="N105" s="14" t="s">
        <v>139</v>
      </c>
      <c r="O105" s="14" t="s">
        <v>140</v>
      </c>
      <c r="P105" s="15">
        <v>330000000</v>
      </c>
      <c r="Q105" s="13"/>
      <c r="R105" s="13"/>
      <c r="S105" s="13"/>
      <c r="T105" s="13">
        <v>282500000</v>
      </c>
      <c r="U105" s="10">
        <v>0</v>
      </c>
      <c r="V105" s="10">
        <v>47500000</v>
      </c>
      <c r="W105" s="13"/>
      <c r="X105" s="13"/>
      <c r="Y105" s="13"/>
      <c r="Z105" s="13"/>
      <c r="AA105" s="13"/>
      <c r="AB105" s="13"/>
      <c r="AC105" s="4">
        <f t="shared" si="1"/>
        <v>330000000</v>
      </c>
    </row>
    <row r="106" spans="3:29" ht="38.25" x14ac:dyDescent="0.25">
      <c r="C106" s="5" t="s">
        <v>27</v>
      </c>
      <c r="D106" s="5" t="s">
        <v>28</v>
      </c>
      <c r="E106" s="5" t="s">
        <v>27</v>
      </c>
      <c r="F106" s="5" t="s">
        <v>28</v>
      </c>
      <c r="G106" s="5" t="s">
        <v>29</v>
      </c>
      <c r="H106" s="5" t="s">
        <v>30</v>
      </c>
      <c r="I106" s="5" t="s">
        <v>31</v>
      </c>
      <c r="J106" s="5" t="s">
        <v>32</v>
      </c>
      <c r="K106" s="5" t="s">
        <v>128</v>
      </c>
      <c r="L106" s="5" t="s">
        <v>129</v>
      </c>
      <c r="M106" s="5" t="s">
        <v>60</v>
      </c>
      <c r="N106" s="5" t="s">
        <v>141</v>
      </c>
      <c r="O106" s="5" t="s">
        <v>142</v>
      </c>
      <c r="P106" s="15">
        <v>19700000</v>
      </c>
      <c r="Q106" s="13"/>
      <c r="R106" s="13"/>
      <c r="S106" s="13"/>
      <c r="T106" s="13">
        <v>19700000</v>
      </c>
      <c r="U106" s="13">
        <v>0</v>
      </c>
      <c r="V106" s="13"/>
      <c r="W106" s="13"/>
      <c r="X106" s="13"/>
      <c r="Y106" s="13"/>
      <c r="Z106" s="13"/>
      <c r="AA106" s="13"/>
      <c r="AB106" s="13"/>
      <c r="AC106" s="4">
        <f t="shared" si="1"/>
        <v>19700000</v>
      </c>
    </row>
    <row r="107" spans="3:29" ht="89.25" x14ac:dyDescent="0.25">
      <c r="C107" s="5" t="s">
        <v>27</v>
      </c>
      <c r="D107" s="5" t="s">
        <v>28</v>
      </c>
      <c r="E107" s="5" t="s">
        <v>27</v>
      </c>
      <c r="F107" s="5" t="s">
        <v>28</v>
      </c>
      <c r="G107" s="5" t="s">
        <v>29</v>
      </c>
      <c r="H107" s="5" t="s">
        <v>30</v>
      </c>
      <c r="I107" s="5" t="s">
        <v>31</v>
      </c>
      <c r="J107" s="5" t="s">
        <v>32</v>
      </c>
      <c r="K107" s="5" t="s">
        <v>128</v>
      </c>
      <c r="L107" s="5" t="s">
        <v>129</v>
      </c>
      <c r="M107" s="5" t="s">
        <v>143</v>
      </c>
      <c r="N107" s="5" t="s">
        <v>86</v>
      </c>
      <c r="O107" s="5" t="s">
        <v>87</v>
      </c>
      <c r="P107" s="15">
        <v>8739000000</v>
      </c>
      <c r="Q107" s="13">
        <v>728250000</v>
      </c>
      <c r="R107" s="13">
        <v>971000000</v>
      </c>
      <c r="S107" s="13">
        <v>1213750000</v>
      </c>
      <c r="T107" s="13">
        <v>971000000</v>
      </c>
      <c r="U107" s="13">
        <v>971000000</v>
      </c>
      <c r="V107" s="13">
        <v>971000000</v>
      </c>
      <c r="W107" s="13">
        <v>971000000</v>
      </c>
      <c r="X107" s="13">
        <v>971000000</v>
      </c>
      <c r="Y107" s="13">
        <v>971000000</v>
      </c>
      <c r="Z107" s="13">
        <v>0</v>
      </c>
      <c r="AA107" s="13">
        <v>0</v>
      </c>
      <c r="AB107" s="13">
        <v>0</v>
      </c>
      <c r="AC107" s="4">
        <f t="shared" si="1"/>
        <v>8739000000</v>
      </c>
    </row>
    <row r="108" spans="3:29" ht="89.25" x14ac:dyDescent="0.25">
      <c r="C108" s="5" t="s">
        <v>27</v>
      </c>
      <c r="D108" s="5" t="s">
        <v>28</v>
      </c>
      <c r="E108" s="5" t="s">
        <v>27</v>
      </c>
      <c r="F108" s="5" t="s">
        <v>28</v>
      </c>
      <c r="G108" s="5" t="s">
        <v>29</v>
      </c>
      <c r="H108" s="5" t="s">
        <v>30</v>
      </c>
      <c r="I108" s="5" t="s">
        <v>31</v>
      </c>
      <c r="J108" s="5" t="s">
        <v>32</v>
      </c>
      <c r="K108" s="5" t="s">
        <v>128</v>
      </c>
      <c r="L108" s="5" t="s">
        <v>129</v>
      </c>
      <c r="M108" s="5" t="s">
        <v>143</v>
      </c>
      <c r="N108" s="5" t="s">
        <v>88</v>
      </c>
      <c r="O108" s="5" t="s">
        <v>89</v>
      </c>
      <c r="P108" s="15">
        <v>1443000000</v>
      </c>
      <c r="Q108" s="13">
        <v>111000000</v>
      </c>
      <c r="R108" s="13">
        <v>111000000</v>
      </c>
      <c r="S108" s="13">
        <v>222000000</v>
      </c>
      <c r="T108" s="13">
        <v>111000000</v>
      </c>
      <c r="U108" s="13">
        <v>111000000</v>
      </c>
      <c r="V108" s="13">
        <v>111000000</v>
      </c>
      <c r="W108" s="13">
        <v>111000000</v>
      </c>
      <c r="X108" s="13">
        <v>111000000</v>
      </c>
      <c r="Y108" s="13">
        <v>111000000</v>
      </c>
      <c r="Z108" s="13">
        <v>111000000</v>
      </c>
      <c r="AA108" s="13">
        <v>111000000</v>
      </c>
      <c r="AB108" s="13">
        <v>111000000</v>
      </c>
      <c r="AC108" s="4">
        <f t="shared" si="1"/>
        <v>1443000000</v>
      </c>
    </row>
    <row r="109" spans="3:29" ht="89.25" x14ac:dyDescent="0.25">
      <c r="C109" s="5" t="s">
        <v>27</v>
      </c>
      <c r="D109" s="5" t="s">
        <v>28</v>
      </c>
      <c r="E109" s="5" t="s">
        <v>27</v>
      </c>
      <c r="F109" s="5" t="s">
        <v>28</v>
      </c>
      <c r="G109" s="5" t="s">
        <v>29</v>
      </c>
      <c r="H109" s="5" t="s">
        <v>30</v>
      </c>
      <c r="I109" s="5" t="s">
        <v>31</v>
      </c>
      <c r="J109" s="5" t="s">
        <v>32</v>
      </c>
      <c r="K109" s="5" t="s">
        <v>128</v>
      </c>
      <c r="L109" s="5" t="s">
        <v>129</v>
      </c>
      <c r="M109" s="14" t="s">
        <v>143</v>
      </c>
      <c r="N109" s="14" t="s">
        <v>90</v>
      </c>
      <c r="O109" s="14" t="s">
        <v>91</v>
      </c>
      <c r="P109" s="15">
        <v>1323400000</v>
      </c>
      <c r="Q109" s="13">
        <v>101800000</v>
      </c>
      <c r="R109" s="13">
        <v>101800000</v>
      </c>
      <c r="S109" s="13">
        <v>203600000</v>
      </c>
      <c r="T109" s="4">
        <v>101800000</v>
      </c>
      <c r="U109" s="10">
        <v>298400000</v>
      </c>
      <c r="V109" s="10">
        <v>129000000</v>
      </c>
      <c r="W109" s="10">
        <v>129000000</v>
      </c>
      <c r="X109" s="10">
        <v>129000000</v>
      </c>
      <c r="Y109" s="10">
        <v>129000000</v>
      </c>
      <c r="Z109" s="10"/>
      <c r="AA109" s="10"/>
      <c r="AB109" s="10">
        <v>0</v>
      </c>
      <c r="AC109" s="4">
        <f t="shared" si="1"/>
        <v>1323400000</v>
      </c>
    </row>
    <row r="110" spans="3:29" ht="89.25" x14ac:dyDescent="0.25">
      <c r="C110" s="5" t="s">
        <v>27</v>
      </c>
      <c r="D110" s="5" t="s">
        <v>28</v>
      </c>
      <c r="E110" s="5" t="s">
        <v>27</v>
      </c>
      <c r="F110" s="5" t="s">
        <v>28</v>
      </c>
      <c r="G110" s="5" t="s">
        <v>29</v>
      </c>
      <c r="H110" s="5" t="s">
        <v>30</v>
      </c>
      <c r="I110" s="5" t="s">
        <v>31</v>
      </c>
      <c r="J110" s="5" t="s">
        <v>32</v>
      </c>
      <c r="K110" s="5" t="s">
        <v>128</v>
      </c>
      <c r="L110" s="5" t="s">
        <v>129</v>
      </c>
      <c r="M110" s="5" t="s">
        <v>143</v>
      </c>
      <c r="N110" s="5" t="s">
        <v>344</v>
      </c>
      <c r="O110" s="5" t="s">
        <v>346</v>
      </c>
      <c r="P110" s="15">
        <v>88800000</v>
      </c>
      <c r="Q110" s="13">
        <v>7400000</v>
      </c>
      <c r="R110" s="13">
        <v>8880000</v>
      </c>
      <c r="S110" s="13">
        <v>8140000</v>
      </c>
      <c r="T110" s="13">
        <v>8140000</v>
      </c>
      <c r="U110" s="13">
        <v>8140000</v>
      </c>
      <c r="V110" s="13">
        <v>8140000</v>
      </c>
      <c r="W110" s="13">
        <v>8140000</v>
      </c>
      <c r="X110" s="13">
        <v>8140000</v>
      </c>
      <c r="Y110" s="13">
        <v>8140000</v>
      </c>
      <c r="Z110" s="13">
        <v>8140000</v>
      </c>
      <c r="AA110" s="13">
        <v>7400000</v>
      </c>
      <c r="AB110" s="13">
        <v>0</v>
      </c>
      <c r="AC110" s="4">
        <f t="shared" si="1"/>
        <v>88800000</v>
      </c>
    </row>
    <row r="111" spans="3:29" ht="89.25" x14ac:dyDescent="0.25">
      <c r="C111" s="5" t="s">
        <v>27</v>
      </c>
      <c r="D111" s="5" t="s">
        <v>28</v>
      </c>
      <c r="E111" s="5" t="s">
        <v>27</v>
      </c>
      <c r="F111" s="5" t="s">
        <v>28</v>
      </c>
      <c r="G111" s="5" t="s">
        <v>29</v>
      </c>
      <c r="H111" s="5" t="s">
        <v>30</v>
      </c>
      <c r="I111" s="5" t="s">
        <v>31</v>
      </c>
      <c r="J111" s="5" t="s">
        <v>32</v>
      </c>
      <c r="K111" s="5" t="s">
        <v>128</v>
      </c>
      <c r="L111" s="5" t="s">
        <v>129</v>
      </c>
      <c r="M111" s="14" t="s">
        <v>143</v>
      </c>
      <c r="N111" s="14" t="s">
        <v>345</v>
      </c>
      <c r="O111" s="14" t="s">
        <v>342</v>
      </c>
      <c r="P111" s="15">
        <v>86400000</v>
      </c>
      <c r="Q111" s="13">
        <v>7200000</v>
      </c>
      <c r="R111" s="13">
        <v>8640000</v>
      </c>
      <c r="S111" s="13">
        <v>7920000</v>
      </c>
      <c r="T111" s="13">
        <v>7720000</v>
      </c>
      <c r="U111" s="10">
        <v>17020000</v>
      </c>
      <c r="V111" s="10">
        <v>9700000</v>
      </c>
      <c r="W111" s="10">
        <v>9700000</v>
      </c>
      <c r="X111" s="10">
        <v>9700000</v>
      </c>
      <c r="Y111" s="10">
        <v>8800000</v>
      </c>
      <c r="Z111" s="10"/>
      <c r="AA111" s="10">
        <v>0</v>
      </c>
      <c r="AB111" s="10">
        <v>0</v>
      </c>
      <c r="AC111" s="4">
        <f t="shared" si="1"/>
        <v>86400000</v>
      </c>
    </row>
    <row r="112" spans="3:29" ht="89.25" x14ac:dyDescent="0.25">
      <c r="C112" s="5" t="s">
        <v>27</v>
      </c>
      <c r="D112" s="5" t="s">
        <v>28</v>
      </c>
      <c r="E112" s="5" t="s">
        <v>27</v>
      </c>
      <c r="F112" s="5" t="s">
        <v>28</v>
      </c>
      <c r="G112" s="5" t="s">
        <v>29</v>
      </c>
      <c r="H112" s="5" t="s">
        <v>30</v>
      </c>
      <c r="I112" s="5" t="s">
        <v>31</v>
      </c>
      <c r="J112" s="5" t="s">
        <v>32</v>
      </c>
      <c r="K112" s="5" t="s">
        <v>128</v>
      </c>
      <c r="L112" s="5" t="s">
        <v>129</v>
      </c>
      <c r="M112" s="5" t="s">
        <v>143</v>
      </c>
      <c r="N112" s="5" t="s">
        <v>347</v>
      </c>
      <c r="O112" s="5" t="s">
        <v>348</v>
      </c>
      <c r="P112" s="15">
        <v>3196356</v>
      </c>
      <c r="Q112" s="13">
        <v>266363</v>
      </c>
      <c r="R112" s="13">
        <v>266363</v>
      </c>
      <c r="S112" s="13">
        <v>266363</v>
      </c>
      <c r="T112" s="13">
        <v>266363</v>
      </c>
      <c r="U112" s="13">
        <v>266363</v>
      </c>
      <c r="V112" s="13">
        <v>266363</v>
      </c>
      <c r="W112" s="13">
        <v>266363</v>
      </c>
      <c r="X112" s="13">
        <v>266363</v>
      </c>
      <c r="Y112" s="13">
        <v>266363</v>
      </c>
      <c r="Z112" s="13">
        <v>266363</v>
      </c>
      <c r="AA112" s="13">
        <v>266363</v>
      </c>
      <c r="AB112" s="13">
        <v>266363</v>
      </c>
      <c r="AC112" s="4">
        <f t="shared" si="1"/>
        <v>3196356</v>
      </c>
    </row>
    <row r="113" spans="3:29" ht="89.25" x14ac:dyDescent="0.25">
      <c r="C113" s="5" t="s">
        <v>27</v>
      </c>
      <c r="D113" s="5" t="s">
        <v>28</v>
      </c>
      <c r="E113" s="5" t="s">
        <v>27</v>
      </c>
      <c r="F113" s="5" t="s">
        <v>28</v>
      </c>
      <c r="G113" s="5" t="s">
        <v>29</v>
      </c>
      <c r="H113" s="5" t="s">
        <v>30</v>
      </c>
      <c r="I113" s="5" t="s">
        <v>31</v>
      </c>
      <c r="J113" s="5" t="s">
        <v>32</v>
      </c>
      <c r="K113" s="5" t="s">
        <v>128</v>
      </c>
      <c r="L113" s="5" t="s">
        <v>129</v>
      </c>
      <c r="M113" s="14" t="s">
        <v>143</v>
      </c>
      <c r="N113" s="14" t="s">
        <v>349</v>
      </c>
      <c r="O113" s="14" t="s">
        <v>350</v>
      </c>
      <c r="P113" s="15">
        <v>2931408</v>
      </c>
      <c r="Q113" s="13">
        <v>244284</v>
      </c>
      <c r="R113" s="13">
        <v>244284</v>
      </c>
      <c r="S113" s="13">
        <v>244284</v>
      </c>
      <c r="T113" s="13">
        <v>244284</v>
      </c>
      <c r="U113" s="10">
        <v>714272</v>
      </c>
      <c r="V113" s="10">
        <v>310000</v>
      </c>
      <c r="W113" s="10">
        <v>310000</v>
      </c>
      <c r="X113" s="10">
        <v>310000</v>
      </c>
      <c r="Y113" s="10">
        <v>310000</v>
      </c>
      <c r="Z113" s="10"/>
      <c r="AA113" s="10"/>
      <c r="AB113" s="10">
        <v>0</v>
      </c>
      <c r="AC113" s="4">
        <f t="shared" si="1"/>
        <v>2931408</v>
      </c>
    </row>
    <row r="114" spans="3:29" ht="89.25" x14ac:dyDescent="0.25">
      <c r="C114" s="5" t="s">
        <v>27</v>
      </c>
      <c r="D114" s="5" t="s">
        <v>28</v>
      </c>
      <c r="E114" s="5" t="s">
        <v>27</v>
      </c>
      <c r="F114" s="5" t="s">
        <v>28</v>
      </c>
      <c r="G114" s="5" t="s">
        <v>29</v>
      </c>
      <c r="H114" s="5" t="s">
        <v>30</v>
      </c>
      <c r="I114" s="5" t="s">
        <v>31</v>
      </c>
      <c r="J114" s="5" t="s">
        <v>32</v>
      </c>
      <c r="K114" s="5" t="s">
        <v>128</v>
      </c>
      <c r="L114" s="5" t="s">
        <v>129</v>
      </c>
      <c r="M114" s="5" t="s">
        <v>143</v>
      </c>
      <c r="N114" s="5" t="s">
        <v>351</v>
      </c>
      <c r="O114" s="5" t="s">
        <v>352</v>
      </c>
      <c r="P114" s="15">
        <v>9590400</v>
      </c>
      <c r="Q114" s="13">
        <v>799200</v>
      </c>
      <c r="R114" s="13">
        <v>799200</v>
      </c>
      <c r="S114" s="13">
        <v>799200</v>
      </c>
      <c r="T114" s="13">
        <v>799200</v>
      </c>
      <c r="U114" s="13">
        <v>799200</v>
      </c>
      <c r="V114" s="13">
        <v>799200</v>
      </c>
      <c r="W114" s="13">
        <v>799200</v>
      </c>
      <c r="X114" s="13">
        <v>799200</v>
      </c>
      <c r="Y114" s="13">
        <v>799200</v>
      </c>
      <c r="Z114" s="13">
        <v>799200</v>
      </c>
      <c r="AA114" s="13">
        <v>799200</v>
      </c>
      <c r="AB114" s="13">
        <v>799200</v>
      </c>
      <c r="AC114" s="4">
        <f t="shared" si="1"/>
        <v>9590400</v>
      </c>
    </row>
    <row r="115" spans="3:29" ht="89.25" x14ac:dyDescent="0.25">
      <c r="C115" s="5" t="s">
        <v>27</v>
      </c>
      <c r="D115" s="5" t="s">
        <v>28</v>
      </c>
      <c r="E115" s="5" t="s">
        <v>27</v>
      </c>
      <c r="F115" s="5" t="s">
        <v>28</v>
      </c>
      <c r="G115" s="5" t="s">
        <v>29</v>
      </c>
      <c r="H115" s="5" t="s">
        <v>30</v>
      </c>
      <c r="I115" s="5" t="s">
        <v>31</v>
      </c>
      <c r="J115" s="5" t="s">
        <v>32</v>
      </c>
      <c r="K115" s="5" t="s">
        <v>128</v>
      </c>
      <c r="L115" s="5" t="s">
        <v>129</v>
      </c>
      <c r="M115" s="14" t="s">
        <v>143</v>
      </c>
      <c r="N115" s="14" t="s">
        <v>353</v>
      </c>
      <c r="O115" s="14" t="s">
        <v>354</v>
      </c>
      <c r="P115" s="15">
        <v>8795520</v>
      </c>
      <c r="Q115" s="13">
        <v>732960</v>
      </c>
      <c r="R115" s="13">
        <v>732960</v>
      </c>
      <c r="S115" s="13">
        <v>732960</v>
      </c>
      <c r="T115" s="13">
        <v>732960</v>
      </c>
      <c r="U115" s="10">
        <v>2143680</v>
      </c>
      <c r="V115" s="10">
        <v>930000</v>
      </c>
      <c r="W115" s="10">
        <v>930000</v>
      </c>
      <c r="X115" s="10">
        <v>930000</v>
      </c>
      <c r="Y115" s="10">
        <v>930000</v>
      </c>
      <c r="Z115" s="10"/>
      <c r="AA115" s="10"/>
      <c r="AB115" s="10"/>
      <c r="AC115" s="4">
        <f t="shared" si="1"/>
        <v>8795520</v>
      </c>
    </row>
    <row r="116" spans="3:29" ht="89.25" x14ac:dyDescent="0.25">
      <c r="C116" s="5" t="s">
        <v>27</v>
      </c>
      <c r="D116" s="5" t="s">
        <v>28</v>
      </c>
      <c r="E116" s="5" t="s">
        <v>27</v>
      </c>
      <c r="F116" s="5" t="s">
        <v>28</v>
      </c>
      <c r="G116" s="5" t="s">
        <v>29</v>
      </c>
      <c r="H116" s="5" t="s">
        <v>30</v>
      </c>
      <c r="I116" s="5" t="s">
        <v>31</v>
      </c>
      <c r="J116" s="5" t="s">
        <v>32</v>
      </c>
      <c r="K116" s="5" t="s">
        <v>128</v>
      </c>
      <c r="L116" s="5" t="s">
        <v>129</v>
      </c>
      <c r="M116" s="5" t="s">
        <v>144</v>
      </c>
      <c r="N116" s="5" t="s">
        <v>61</v>
      </c>
      <c r="O116" s="5" t="s">
        <v>62</v>
      </c>
      <c r="P116" s="15">
        <v>93118260</v>
      </c>
      <c r="Q116" s="13"/>
      <c r="R116" s="13">
        <v>18343700</v>
      </c>
      <c r="S116" s="13"/>
      <c r="T116" s="13"/>
      <c r="U116" s="13">
        <v>74774560</v>
      </c>
      <c r="V116" s="13"/>
      <c r="W116" s="13"/>
      <c r="X116" s="13"/>
      <c r="Y116" s="13"/>
      <c r="Z116" s="13"/>
      <c r="AA116" s="13"/>
      <c r="AB116" s="13"/>
      <c r="AC116" s="4">
        <f t="shared" si="1"/>
        <v>93118260</v>
      </c>
    </row>
    <row r="117" spans="3:29" ht="89.25" x14ac:dyDescent="0.25">
      <c r="C117" s="5" t="s">
        <v>27</v>
      </c>
      <c r="D117" s="5" t="s">
        <v>28</v>
      </c>
      <c r="E117" s="5" t="s">
        <v>27</v>
      </c>
      <c r="F117" s="5" t="s">
        <v>28</v>
      </c>
      <c r="G117" s="5" t="s">
        <v>29</v>
      </c>
      <c r="H117" s="5" t="s">
        <v>30</v>
      </c>
      <c r="I117" s="5" t="s">
        <v>31</v>
      </c>
      <c r="J117" s="5" t="s">
        <v>32</v>
      </c>
      <c r="K117" s="5" t="s">
        <v>128</v>
      </c>
      <c r="L117" s="5" t="s">
        <v>129</v>
      </c>
      <c r="M117" s="5" t="s">
        <v>144</v>
      </c>
      <c r="N117" s="5" t="s">
        <v>99</v>
      </c>
      <c r="O117" s="5" t="s">
        <v>100</v>
      </c>
      <c r="P117" s="15">
        <v>49929000</v>
      </c>
      <c r="Q117" s="13"/>
      <c r="R117" s="13"/>
      <c r="S117" s="13"/>
      <c r="T117" s="13"/>
      <c r="U117" s="13">
        <v>49929000</v>
      </c>
      <c r="V117" s="13"/>
      <c r="W117" s="13"/>
      <c r="X117" s="13"/>
      <c r="Y117" s="13"/>
      <c r="Z117" s="13"/>
      <c r="AA117" s="13"/>
      <c r="AB117" s="13"/>
      <c r="AC117" s="4">
        <f t="shared" si="1"/>
        <v>49929000</v>
      </c>
    </row>
    <row r="118" spans="3:29" ht="89.25" x14ac:dyDescent="0.25">
      <c r="C118" s="5" t="s">
        <v>27</v>
      </c>
      <c r="D118" s="5" t="s">
        <v>28</v>
      </c>
      <c r="E118" s="5" t="s">
        <v>27</v>
      </c>
      <c r="F118" s="5" t="s">
        <v>28</v>
      </c>
      <c r="G118" s="5" t="s">
        <v>29</v>
      </c>
      <c r="H118" s="5" t="s">
        <v>30</v>
      </c>
      <c r="I118" s="5" t="s">
        <v>31</v>
      </c>
      <c r="J118" s="5" t="s">
        <v>32</v>
      </c>
      <c r="K118" s="5" t="s">
        <v>128</v>
      </c>
      <c r="L118" s="5" t="s">
        <v>129</v>
      </c>
      <c r="M118" s="5" t="s">
        <v>144</v>
      </c>
      <c r="N118" s="5" t="s">
        <v>63</v>
      </c>
      <c r="O118" s="5" t="s">
        <v>64</v>
      </c>
      <c r="P118" s="15">
        <v>99076500</v>
      </c>
      <c r="Q118" s="13"/>
      <c r="R118" s="13">
        <v>23985000</v>
      </c>
      <c r="S118" s="13"/>
      <c r="T118" s="13"/>
      <c r="U118" s="13">
        <v>75091500</v>
      </c>
      <c r="V118" s="13"/>
      <c r="W118" s="13"/>
      <c r="X118" s="13"/>
      <c r="Y118" s="13"/>
      <c r="Z118" s="13"/>
      <c r="AA118" s="13"/>
      <c r="AB118" s="13"/>
      <c r="AC118" s="4">
        <f t="shared" si="1"/>
        <v>99076500</v>
      </c>
    </row>
    <row r="119" spans="3:29" ht="89.25" x14ac:dyDescent="0.25">
      <c r="C119" s="5" t="s">
        <v>27</v>
      </c>
      <c r="D119" s="5" t="s">
        <v>28</v>
      </c>
      <c r="E119" s="5" t="s">
        <v>27</v>
      </c>
      <c r="F119" s="5" t="s">
        <v>28</v>
      </c>
      <c r="G119" s="5" t="s">
        <v>29</v>
      </c>
      <c r="H119" s="5" t="s">
        <v>30</v>
      </c>
      <c r="I119" s="5" t="s">
        <v>31</v>
      </c>
      <c r="J119" s="5" t="s">
        <v>32</v>
      </c>
      <c r="K119" s="5" t="s">
        <v>128</v>
      </c>
      <c r="L119" s="5" t="s">
        <v>129</v>
      </c>
      <c r="M119" s="5" t="s">
        <v>144</v>
      </c>
      <c r="N119" s="5" t="s">
        <v>101</v>
      </c>
      <c r="O119" s="5" t="s">
        <v>102</v>
      </c>
      <c r="P119" s="15">
        <v>242970000</v>
      </c>
      <c r="Q119" s="13"/>
      <c r="R119" s="13"/>
      <c r="S119" s="13"/>
      <c r="T119" s="13"/>
      <c r="U119" s="13">
        <v>242970000</v>
      </c>
      <c r="V119" s="13"/>
      <c r="W119" s="13"/>
      <c r="X119" s="13"/>
      <c r="Y119" s="13"/>
      <c r="Z119" s="13"/>
      <c r="AA119" s="13"/>
      <c r="AB119" s="13"/>
      <c r="AC119" s="4">
        <f t="shared" si="1"/>
        <v>242970000</v>
      </c>
    </row>
    <row r="120" spans="3:29" ht="89.25" x14ac:dyDescent="0.25">
      <c r="C120" s="5" t="s">
        <v>27</v>
      </c>
      <c r="D120" s="5" t="s">
        <v>28</v>
      </c>
      <c r="E120" s="5" t="s">
        <v>27</v>
      </c>
      <c r="F120" s="5" t="s">
        <v>28</v>
      </c>
      <c r="G120" s="5" t="s">
        <v>29</v>
      </c>
      <c r="H120" s="5" t="s">
        <v>30</v>
      </c>
      <c r="I120" s="5" t="s">
        <v>31</v>
      </c>
      <c r="J120" s="5" t="s">
        <v>32</v>
      </c>
      <c r="K120" s="5" t="s">
        <v>128</v>
      </c>
      <c r="L120" s="5" t="s">
        <v>129</v>
      </c>
      <c r="M120" s="5" t="s">
        <v>144</v>
      </c>
      <c r="N120" s="5" t="s">
        <v>69</v>
      </c>
      <c r="O120" s="5" t="s">
        <v>70</v>
      </c>
      <c r="P120" s="15">
        <v>191200000</v>
      </c>
      <c r="Q120" s="13"/>
      <c r="R120" s="13">
        <v>21600000</v>
      </c>
      <c r="S120" s="13"/>
      <c r="T120" s="13"/>
      <c r="U120" s="13">
        <v>169600000</v>
      </c>
      <c r="V120" s="13"/>
      <c r="W120" s="13"/>
      <c r="X120" s="13"/>
      <c r="Y120" s="13"/>
      <c r="Z120" s="13"/>
      <c r="AA120" s="13"/>
      <c r="AB120" s="13"/>
      <c r="AC120" s="4">
        <f t="shared" si="1"/>
        <v>191200000</v>
      </c>
    </row>
    <row r="121" spans="3:29" ht="89.25" x14ac:dyDescent="0.25">
      <c r="C121" s="5" t="s">
        <v>27</v>
      </c>
      <c r="D121" s="5" t="s">
        <v>28</v>
      </c>
      <c r="E121" s="5" t="s">
        <v>27</v>
      </c>
      <c r="F121" s="5" t="s">
        <v>28</v>
      </c>
      <c r="G121" s="5" t="s">
        <v>29</v>
      </c>
      <c r="H121" s="5" t="s">
        <v>30</v>
      </c>
      <c r="I121" s="5" t="s">
        <v>31</v>
      </c>
      <c r="J121" s="5" t="s">
        <v>32</v>
      </c>
      <c r="K121" s="5" t="s">
        <v>128</v>
      </c>
      <c r="L121" s="5" t="s">
        <v>129</v>
      </c>
      <c r="M121" s="5" t="s">
        <v>144</v>
      </c>
      <c r="N121" s="5" t="s">
        <v>103</v>
      </c>
      <c r="O121" s="5" t="s">
        <v>104</v>
      </c>
      <c r="P121" s="15">
        <v>563850000</v>
      </c>
      <c r="Q121" s="13"/>
      <c r="R121" s="13">
        <v>136500000</v>
      </c>
      <c r="S121" s="13"/>
      <c r="T121" s="13"/>
      <c r="U121" s="13">
        <v>427350000</v>
      </c>
      <c r="V121" s="13"/>
      <c r="W121" s="13"/>
      <c r="X121" s="13"/>
      <c r="Y121" s="13"/>
      <c r="Z121" s="13"/>
      <c r="AA121" s="13"/>
      <c r="AB121" s="13"/>
      <c r="AC121" s="4">
        <f t="shared" si="1"/>
        <v>563850000</v>
      </c>
    </row>
    <row r="122" spans="3:29" ht="89.25" x14ac:dyDescent="0.25">
      <c r="C122" s="5" t="s">
        <v>27</v>
      </c>
      <c r="D122" s="5" t="s">
        <v>28</v>
      </c>
      <c r="E122" s="5" t="s">
        <v>27</v>
      </c>
      <c r="F122" s="5" t="s">
        <v>28</v>
      </c>
      <c r="G122" s="5" t="s">
        <v>29</v>
      </c>
      <c r="H122" s="5" t="s">
        <v>30</v>
      </c>
      <c r="I122" s="5" t="s">
        <v>31</v>
      </c>
      <c r="J122" s="5" t="s">
        <v>32</v>
      </c>
      <c r="K122" s="5" t="s">
        <v>128</v>
      </c>
      <c r="L122" s="5" t="s">
        <v>129</v>
      </c>
      <c r="M122" s="5" t="s">
        <v>144</v>
      </c>
      <c r="N122" s="5" t="s">
        <v>105</v>
      </c>
      <c r="O122" s="5" t="s">
        <v>106</v>
      </c>
      <c r="P122" s="15">
        <v>40000000</v>
      </c>
      <c r="Q122" s="13"/>
      <c r="R122" s="13"/>
      <c r="S122" s="13"/>
      <c r="T122" s="13"/>
      <c r="U122" s="13">
        <v>40000000</v>
      </c>
      <c r="V122" s="13"/>
      <c r="W122" s="13"/>
      <c r="X122" s="13"/>
      <c r="Y122" s="13"/>
      <c r="Z122" s="13"/>
      <c r="AA122" s="13"/>
      <c r="AB122" s="13"/>
      <c r="AC122" s="4">
        <f t="shared" si="1"/>
        <v>40000000</v>
      </c>
    </row>
    <row r="123" spans="3:29" ht="89.25" x14ac:dyDescent="0.25">
      <c r="C123" s="5" t="s">
        <v>27</v>
      </c>
      <c r="D123" s="5" t="s">
        <v>28</v>
      </c>
      <c r="E123" s="5" t="s">
        <v>27</v>
      </c>
      <c r="F123" s="5" t="s">
        <v>28</v>
      </c>
      <c r="G123" s="5" t="s">
        <v>29</v>
      </c>
      <c r="H123" s="5" t="s">
        <v>30</v>
      </c>
      <c r="I123" s="5" t="s">
        <v>31</v>
      </c>
      <c r="J123" s="5" t="s">
        <v>32</v>
      </c>
      <c r="K123" s="5" t="s">
        <v>128</v>
      </c>
      <c r="L123" s="5" t="s">
        <v>129</v>
      </c>
      <c r="M123" s="5" t="s">
        <v>144</v>
      </c>
      <c r="N123" s="5" t="s">
        <v>107</v>
      </c>
      <c r="O123" s="5" t="s">
        <v>108</v>
      </c>
      <c r="P123" s="15">
        <v>35180000</v>
      </c>
      <c r="Q123" s="13"/>
      <c r="R123" s="13">
        <v>7036000</v>
      </c>
      <c r="S123" s="13"/>
      <c r="T123" s="13"/>
      <c r="U123" s="13">
        <v>28144000</v>
      </c>
      <c r="V123" s="13"/>
      <c r="W123" s="13"/>
      <c r="X123" s="13"/>
      <c r="Y123" s="13"/>
      <c r="Z123" s="13"/>
      <c r="AA123" s="13"/>
      <c r="AB123" s="13"/>
      <c r="AC123" s="4">
        <f t="shared" si="1"/>
        <v>35180000</v>
      </c>
    </row>
    <row r="124" spans="3:29" ht="51" x14ac:dyDescent="0.25">
      <c r="C124" s="5" t="s">
        <v>27</v>
      </c>
      <c r="D124" s="5" t="s">
        <v>28</v>
      </c>
      <c r="E124" s="5" t="s">
        <v>27</v>
      </c>
      <c r="F124" s="5" t="s">
        <v>28</v>
      </c>
      <c r="G124" s="5" t="s">
        <v>29</v>
      </c>
      <c r="H124" s="5" t="s">
        <v>30</v>
      </c>
      <c r="I124" s="5" t="s">
        <v>31</v>
      </c>
      <c r="J124" s="5" t="s">
        <v>32</v>
      </c>
      <c r="K124" s="5" t="s">
        <v>128</v>
      </c>
      <c r="L124" s="5" t="s">
        <v>129</v>
      </c>
      <c r="M124" s="5" t="s">
        <v>109</v>
      </c>
      <c r="N124" s="5" t="s">
        <v>61</v>
      </c>
      <c r="O124" s="5" t="s">
        <v>62</v>
      </c>
      <c r="P124" s="15">
        <v>19520000</v>
      </c>
      <c r="Q124" s="13"/>
      <c r="R124" s="13"/>
      <c r="S124" s="13"/>
      <c r="T124" s="13"/>
      <c r="U124" s="13">
        <v>19520000</v>
      </c>
      <c r="V124" s="13"/>
      <c r="W124" s="13"/>
      <c r="X124" s="13"/>
      <c r="Y124" s="13"/>
      <c r="Z124" s="13"/>
      <c r="AA124" s="13"/>
      <c r="AB124" s="13"/>
      <c r="AC124" s="4">
        <f t="shared" si="1"/>
        <v>19520000</v>
      </c>
    </row>
    <row r="125" spans="3:29" ht="51" x14ac:dyDescent="0.25">
      <c r="C125" s="5" t="s">
        <v>27</v>
      </c>
      <c r="D125" s="5" t="s">
        <v>28</v>
      </c>
      <c r="E125" s="5" t="s">
        <v>27</v>
      </c>
      <c r="F125" s="5" t="s">
        <v>28</v>
      </c>
      <c r="G125" s="5" t="s">
        <v>29</v>
      </c>
      <c r="H125" s="5" t="s">
        <v>30</v>
      </c>
      <c r="I125" s="5" t="s">
        <v>31</v>
      </c>
      <c r="J125" s="5" t="s">
        <v>32</v>
      </c>
      <c r="K125" s="5" t="s">
        <v>128</v>
      </c>
      <c r="L125" s="5" t="s">
        <v>129</v>
      </c>
      <c r="M125" s="5" t="s">
        <v>109</v>
      </c>
      <c r="N125" s="5" t="s">
        <v>63</v>
      </c>
      <c r="O125" s="5" t="s">
        <v>64</v>
      </c>
      <c r="P125" s="15">
        <v>22693500</v>
      </c>
      <c r="Q125" s="13"/>
      <c r="R125" s="13"/>
      <c r="S125" s="13"/>
      <c r="T125" s="13"/>
      <c r="U125" s="13">
        <v>22693500</v>
      </c>
      <c r="V125" s="13"/>
      <c r="W125" s="13"/>
      <c r="X125" s="13"/>
      <c r="Y125" s="13"/>
      <c r="Z125" s="13"/>
      <c r="AA125" s="13"/>
      <c r="AB125" s="13"/>
      <c r="AC125" s="4">
        <f t="shared" si="1"/>
        <v>22693500</v>
      </c>
    </row>
    <row r="126" spans="3:29" ht="76.5" x14ac:dyDescent="0.25">
      <c r="C126" s="5" t="s">
        <v>27</v>
      </c>
      <c r="D126" s="5" t="s">
        <v>28</v>
      </c>
      <c r="E126" s="5" t="s">
        <v>27</v>
      </c>
      <c r="F126" s="5" t="s">
        <v>28</v>
      </c>
      <c r="G126" s="5" t="s">
        <v>29</v>
      </c>
      <c r="H126" s="5" t="s">
        <v>30</v>
      </c>
      <c r="I126" s="5" t="s">
        <v>31</v>
      </c>
      <c r="J126" s="5" t="s">
        <v>32</v>
      </c>
      <c r="K126" s="5" t="s">
        <v>128</v>
      </c>
      <c r="L126" s="5" t="s">
        <v>129</v>
      </c>
      <c r="M126" s="5" t="s">
        <v>109</v>
      </c>
      <c r="N126" s="5" t="s">
        <v>69</v>
      </c>
      <c r="O126" s="5" t="s">
        <v>70</v>
      </c>
      <c r="P126" s="15">
        <v>21600000</v>
      </c>
      <c r="Q126" s="13"/>
      <c r="R126" s="13"/>
      <c r="S126" s="13"/>
      <c r="T126" s="13"/>
      <c r="U126" s="13">
        <v>21600000</v>
      </c>
      <c r="V126" s="13"/>
      <c r="W126" s="13"/>
      <c r="X126" s="13"/>
      <c r="Y126" s="13"/>
      <c r="Z126" s="13"/>
      <c r="AA126" s="13"/>
      <c r="AB126" s="13"/>
      <c r="AC126" s="4">
        <f t="shared" si="1"/>
        <v>21600000</v>
      </c>
    </row>
    <row r="127" spans="3:29" ht="38.25" x14ac:dyDescent="0.25">
      <c r="C127" s="5" t="s">
        <v>27</v>
      </c>
      <c r="D127" s="5" t="s">
        <v>28</v>
      </c>
      <c r="E127" s="5" t="s">
        <v>27</v>
      </c>
      <c r="F127" s="5" t="s">
        <v>28</v>
      </c>
      <c r="G127" s="5" t="s">
        <v>29</v>
      </c>
      <c r="H127" s="5" t="s">
        <v>30</v>
      </c>
      <c r="I127" s="5" t="s">
        <v>31</v>
      </c>
      <c r="J127" s="5" t="s">
        <v>32</v>
      </c>
      <c r="K127" s="5" t="s">
        <v>128</v>
      </c>
      <c r="L127" s="5" t="s">
        <v>129</v>
      </c>
      <c r="M127" s="5" t="s">
        <v>109</v>
      </c>
      <c r="N127" s="5" t="s">
        <v>103</v>
      </c>
      <c r="O127" s="5" t="s">
        <v>104</v>
      </c>
      <c r="P127" s="15">
        <v>129150000</v>
      </c>
      <c r="Q127" s="13"/>
      <c r="R127" s="13"/>
      <c r="S127" s="13"/>
      <c r="T127" s="13"/>
      <c r="U127" s="13">
        <v>129150000</v>
      </c>
      <c r="V127" s="13"/>
      <c r="W127" s="13"/>
      <c r="X127" s="13"/>
      <c r="Y127" s="13"/>
      <c r="Z127" s="13"/>
      <c r="AA127" s="13"/>
      <c r="AB127" s="13"/>
      <c r="AC127" s="4">
        <f t="shared" si="1"/>
        <v>129150000</v>
      </c>
    </row>
    <row r="128" spans="3:29" ht="38.25" x14ac:dyDescent="0.25">
      <c r="C128" s="5" t="s">
        <v>27</v>
      </c>
      <c r="D128" s="5" t="s">
        <v>28</v>
      </c>
      <c r="E128" s="5" t="s">
        <v>27</v>
      </c>
      <c r="F128" s="5" t="s">
        <v>28</v>
      </c>
      <c r="G128" s="5" t="s">
        <v>29</v>
      </c>
      <c r="H128" s="5" t="s">
        <v>30</v>
      </c>
      <c r="I128" s="5" t="s">
        <v>31</v>
      </c>
      <c r="J128" s="5" t="s">
        <v>32</v>
      </c>
      <c r="K128" s="5" t="s">
        <v>128</v>
      </c>
      <c r="L128" s="5" t="s">
        <v>129</v>
      </c>
      <c r="M128" s="5" t="s">
        <v>109</v>
      </c>
      <c r="N128" s="5" t="s">
        <v>107</v>
      </c>
      <c r="O128" s="5" t="s">
        <v>108</v>
      </c>
      <c r="P128" s="15">
        <v>7036000</v>
      </c>
      <c r="Q128" s="13"/>
      <c r="R128" s="13"/>
      <c r="S128" s="13"/>
      <c r="T128" s="13"/>
      <c r="U128" s="13">
        <v>7036000</v>
      </c>
      <c r="V128" s="13"/>
      <c r="W128" s="13"/>
      <c r="X128" s="13"/>
      <c r="Y128" s="13"/>
      <c r="Z128" s="13"/>
      <c r="AA128" s="13"/>
      <c r="AB128" s="13"/>
      <c r="AC128" s="4">
        <f t="shared" si="1"/>
        <v>7036000</v>
      </c>
    </row>
    <row r="129" spans="3:29" ht="127.5" x14ac:dyDescent="0.25">
      <c r="C129" s="5" t="s">
        <v>27</v>
      </c>
      <c r="D129" s="5" t="s">
        <v>28</v>
      </c>
      <c r="E129" s="5" t="s">
        <v>27</v>
      </c>
      <c r="F129" s="5" t="s">
        <v>28</v>
      </c>
      <c r="G129" s="5" t="s">
        <v>29</v>
      </c>
      <c r="H129" s="5" t="s">
        <v>30</v>
      </c>
      <c r="I129" s="5" t="s">
        <v>31</v>
      </c>
      <c r="J129" s="5" t="s">
        <v>32</v>
      </c>
      <c r="K129" s="5" t="s">
        <v>128</v>
      </c>
      <c r="L129" s="5" t="s">
        <v>129</v>
      </c>
      <c r="M129" s="5" t="s">
        <v>109</v>
      </c>
      <c r="N129" s="5" t="s">
        <v>145</v>
      </c>
      <c r="O129" s="5" t="s">
        <v>146</v>
      </c>
      <c r="P129" s="15">
        <v>300000000</v>
      </c>
      <c r="Q129" s="13"/>
      <c r="R129" s="13"/>
      <c r="S129" s="13"/>
      <c r="T129" s="13"/>
      <c r="U129" s="13">
        <v>300000000</v>
      </c>
      <c r="V129" s="13"/>
      <c r="W129" s="13"/>
      <c r="X129" s="13"/>
      <c r="Y129" s="13"/>
      <c r="Z129" s="13"/>
      <c r="AA129" s="13"/>
      <c r="AB129" s="13"/>
      <c r="AC129" s="4">
        <f t="shared" si="1"/>
        <v>300000000</v>
      </c>
    </row>
    <row r="130" spans="3:29" ht="63.75" x14ac:dyDescent="0.25">
      <c r="C130" s="5" t="s">
        <v>27</v>
      </c>
      <c r="D130" s="5" t="s">
        <v>28</v>
      </c>
      <c r="E130" s="5" t="s">
        <v>27</v>
      </c>
      <c r="F130" s="5" t="s">
        <v>28</v>
      </c>
      <c r="G130" s="5" t="s">
        <v>29</v>
      </c>
      <c r="H130" s="5" t="s">
        <v>30</v>
      </c>
      <c r="I130" s="5" t="s">
        <v>31</v>
      </c>
      <c r="J130" s="5" t="s">
        <v>32</v>
      </c>
      <c r="K130" s="5" t="s">
        <v>128</v>
      </c>
      <c r="L130" s="5" t="s">
        <v>129</v>
      </c>
      <c r="M130" s="5" t="s">
        <v>147</v>
      </c>
      <c r="N130" s="5" t="s">
        <v>61</v>
      </c>
      <c r="O130" s="5" t="s">
        <v>62</v>
      </c>
      <c r="P130" s="15">
        <v>5489300</v>
      </c>
      <c r="Q130" s="13"/>
      <c r="R130" s="13"/>
      <c r="S130" s="13">
        <v>5489300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4">
        <f t="shared" ref="AC130:AC187" si="2">Q130+R130+S130+T130+U130+V130+W130+X130+Y130+Z130+AA130+AB130</f>
        <v>5489300</v>
      </c>
    </row>
    <row r="131" spans="3:29" ht="63.75" x14ac:dyDescent="0.25">
      <c r="C131" s="5" t="s">
        <v>27</v>
      </c>
      <c r="D131" s="5" t="s">
        <v>28</v>
      </c>
      <c r="E131" s="5" t="s">
        <v>27</v>
      </c>
      <c r="F131" s="5" t="s">
        <v>28</v>
      </c>
      <c r="G131" s="5" t="s">
        <v>29</v>
      </c>
      <c r="H131" s="5" t="s">
        <v>30</v>
      </c>
      <c r="I131" s="5" t="s">
        <v>31</v>
      </c>
      <c r="J131" s="5" t="s">
        <v>32</v>
      </c>
      <c r="K131" s="5" t="s">
        <v>128</v>
      </c>
      <c r="L131" s="5" t="s">
        <v>129</v>
      </c>
      <c r="M131" s="5" t="s">
        <v>147</v>
      </c>
      <c r="N131" s="5" t="s">
        <v>101</v>
      </c>
      <c r="O131" s="5" t="s">
        <v>102</v>
      </c>
      <c r="P131" s="15">
        <v>36400000</v>
      </c>
      <c r="Q131" s="13"/>
      <c r="R131" s="13"/>
      <c r="S131" s="13">
        <v>36400000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4">
        <f t="shared" si="2"/>
        <v>36400000</v>
      </c>
    </row>
    <row r="132" spans="3:29" ht="76.5" x14ac:dyDescent="0.25">
      <c r="C132" s="5" t="s">
        <v>27</v>
      </c>
      <c r="D132" s="5" t="s">
        <v>28</v>
      </c>
      <c r="E132" s="5" t="s">
        <v>27</v>
      </c>
      <c r="F132" s="5" t="s">
        <v>28</v>
      </c>
      <c r="G132" s="5" t="s">
        <v>29</v>
      </c>
      <c r="H132" s="5" t="s">
        <v>30</v>
      </c>
      <c r="I132" s="5" t="s">
        <v>31</v>
      </c>
      <c r="J132" s="5" t="s">
        <v>32</v>
      </c>
      <c r="K132" s="5" t="s">
        <v>128</v>
      </c>
      <c r="L132" s="5" t="s">
        <v>129</v>
      </c>
      <c r="M132" s="5" t="s">
        <v>147</v>
      </c>
      <c r="N132" s="5" t="s">
        <v>69</v>
      </c>
      <c r="O132" s="5" t="s">
        <v>70</v>
      </c>
      <c r="P132" s="15">
        <v>14400000</v>
      </c>
      <c r="Q132" s="13"/>
      <c r="R132" s="13"/>
      <c r="S132" s="13">
        <v>14400000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4">
        <f t="shared" si="2"/>
        <v>14400000</v>
      </c>
    </row>
    <row r="133" spans="3:29" ht="63.75" x14ac:dyDescent="0.25">
      <c r="C133" s="5" t="s">
        <v>27</v>
      </c>
      <c r="D133" s="5" t="s">
        <v>28</v>
      </c>
      <c r="E133" s="5" t="s">
        <v>27</v>
      </c>
      <c r="F133" s="5" t="s">
        <v>28</v>
      </c>
      <c r="G133" s="5" t="s">
        <v>29</v>
      </c>
      <c r="H133" s="5" t="s">
        <v>30</v>
      </c>
      <c r="I133" s="5" t="s">
        <v>31</v>
      </c>
      <c r="J133" s="5" t="s">
        <v>32</v>
      </c>
      <c r="K133" s="5" t="s">
        <v>128</v>
      </c>
      <c r="L133" s="5" t="s">
        <v>129</v>
      </c>
      <c r="M133" s="5" t="s">
        <v>147</v>
      </c>
      <c r="N133" s="5" t="s">
        <v>148</v>
      </c>
      <c r="O133" s="5" t="s">
        <v>149</v>
      </c>
      <c r="P133" s="15">
        <v>110000</v>
      </c>
      <c r="Q133" s="13"/>
      <c r="R133" s="13"/>
      <c r="S133" s="13">
        <v>110000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4">
        <f t="shared" si="2"/>
        <v>110000</v>
      </c>
    </row>
    <row r="134" spans="3:29" ht="63.75" x14ac:dyDescent="0.25">
      <c r="C134" s="5" t="s">
        <v>27</v>
      </c>
      <c r="D134" s="5" t="s">
        <v>28</v>
      </c>
      <c r="E134" s="5" t="s">
        <v>27</v>
      </c>
      <c r="F134" s="5" t="s">
        <v>28</v>
      </c>
      <c r="G134" s="5" t="s">
        <v>29</v>
      </c>
      <c r="H134" s="5" t="s">
        <v>30</v>
      </c>
      <c r="I134" s="5" t="s">
        <v>31</v>
      </c>
      <c r="J134" s="5" t="s">
        <v>32</v>
      </c>
      <c r="K134" s="5" t="s">
        <v>128</v>
      </c>
      <c r="L134" s="5" t="s">
        <v>129</v>
      </c>
      <c r="M134" s="5" t="s">
        <v>147</v>
      </c>
      <c r="N134" s="5" t="s">
        <v>107</v>
      </c>
      <c r="O134" s="5" t="s">
        <v>108</v>
      </c>
      <c r="P134" s="15">
        <v>4962000</v>
      </c>
      <c r="Q134" s="13"/>
      <c r="R134" s="13"/>
      <c r="S134" s="13">
        <v>4962000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4">
        <f t="shared" si="2"/>
        <v>4962000</v>
      </c>
    </row>
    <row r="135" spans="3:29" ht="38.25" x14ac:dyDescent="0.25">
      <c r="C135" s="5" t="s">
        <v>27</v>
      </c>
      <c r="D135" s="5" t="s">
        <v>28</v>
      </c>
      <c r="E135" s="5" t="s">
        <v>27</v>
      </c>
      <c r="F135" s="5" t="s">
        <v>28</v>
      </c>
      <c r="G135" s="5" t="s">
        <v>29</v>
      </c>
      <c r="H135" s="5" t="s">
        <v>30</v>
      </c>
      <c r="I135" s="5" t="s">
        <v>31</v>
      </c>
      <c r="J135" s="5" t="s">
        <v>32</v>
      </c>
      <c r="K135" s="5" t="s">
        <v>128</v>
      </c>
      <c r="L135" s="5" t="s">
        <v>129</v>
      </c>
      <c r="M135" s="14" t="s">
        <v>113</v>
      </c>
      <c r="N135" s="14" t="s">
        <v>44</v>
      </c>
      <c r="O135" s="14" t="s">
        <v>45</v>
      </c>
      <c r="P135" s="15">
        <v>5576317000</v>
      </c>
      <c r="Q135" s="13"/>
      <c r="R135" s="13">
        <v>0</v>
      </c>
      <c r="S135" s="13">
        <v>511691000</v>
      </c>
      <c r="T135" s="13">
        <v>123900000</v>
      </c>
      <c r="U135" s="10"/>
      <c r="V135" s="10">
        <v>1818000000</v>
      </c>
      <c r="W135" s="13">
        <v>1663972000</v>
      </c>
      <c r="X135" s="13">
        <v>1458754000</v>
      </c>
      <c r="Y135" s="13"/>
      <c r="Z135" s="13"/>
      <c r="AA135" s="13"/>
      <c r="AB135" s="13"/>
      <c r="AC135" s="4">
        <f t="shared" si="2"/>
        <v>5576317000</v>
      </c>
    </row>
    <row r="136" spans="3:29" ht="51" x14ac:dyDescent="0.25">
      <c r="C136" s="5" t="s">
        <v>27</v>
      </c>
      <c r="D136" s="5" t="s">
        <v>28</v>
      </c>
      <c r="E136" s="5" t="s">
        <v>27</v>
      </c>
      <c r="F136" s="5" t="s">
        <v>28</v>
      </c>
      <c r="G136" s="5" t="s">
        <v>29</v>
      </c>
      <c r="H136" s="5" t="s">
        <v>30</v>
      </c>
      <c r="I136" s="5" t="s">
        <v>31</v>
      </c>
      <c r="J136" s="5" t="s">
        <v>32</v>
      </c>
      <c r="K136" s="5" t="s">
        <v>128</v>
      </c>
      <c r="L136" s="5" t="s">
        <v>129</v>
      </c>
      <c r="M136" s="14" t="s">
        <v>113</v>
      </c>
      <c r="N136" s="14" t="s">
        <v>50</v>
      </c>
      <c r="O136" s="14" t="s">
        <v>51</v>
      </c>
      <c r="P136" s="15">
        <v>1108184400</v>
      </c>
      <c r="Q136" s="13"/>
      <c r="R136" s="13">
        <v>0</v>
      </c>
      <c r="S136" s="13"/>
      <c r="T136" s="13">
        <v>124276000</v>
      </c>
      <c r="U136" s="10">
        <v>0</v>
      </c>
      <c r="V136" s="10">
        <v>0</v>
      </c>
      <c r="W136" s="10">
        <v>74026000</v>
      </c>
      <c r="X136" s="10">
        <v>909882400</v>
      </c>
      <c r="Y136" s="13"/>
      <c r="Z136" s="13"/>
      <c r="AA136" s="13"/>
      <c r="AB136" s="13"/>
      <c r="AC136" s="4">
        <f t="shared" si="2"/>
        <v>1108184400</v>
      </c>
    </row>
    <row r="137" spans="3:29" ht="38.25" x14ac:dyDescent="0.25">
      <c r="C137" s="5" t="s">
        <v>27</v>
      </c>
      <c r="D137" s="5" t="s">
        <v>28</v>
      </c>
      <c r="E137" s="5" t="s">
        <v>27</v>
      </c>
      <c r="F137" s="5" t="s">
        <v>28</v>
      </c>
      <c r="G137" s="5" t="s">
        <v>29</v>
      </c>
      <c r="H137" s="5" t="s">
        <v>30</v>
      </c>
      <c r="I137" s="5" t="s">
        <v>31</v>
      </c>
      <c r="J137" s="5" t="s">
        <v>32</v>
      </c>
      <c r="K137" s="5" t="s">
        <v>128</v>
      </c>
      <c r="L137" s="5" t="s">
        <v>129</v>
      </c>
      <c r="M137" s="14" t="s">
        <v>113</v>
      </c>
      <c r="N137" s="14" t="s">
        <v>36</v>
      </c>
      <c r="O137" s="14" t="s">
        <v>37</v>
      </c>
      <c r="P137" s="15">
        <v>23914000</v>
      </c>
      <c r="Q137" s="13"/>
      <c r="R137" s="13"/>
      <c r="S137" s="13"/>
      <c r="T137" s="13"/>
      <c r="U137" s="13"/>
      <c r="V137" s="10">
        <v>0</v>
      </c>
      <c r="W137" s="13"/>
      <c r="X137" s="13"/>
      <c r="Y137" s="10">
        <v>23914000</v>
      </c>
      <c r="Z137" s="13"/>
      <c r="AA137" s="13"/>
      <c r="AB137" s="13"/>
      <c r="AC137" s="4">
        <f t="shared" si="2"/>
        <v>23914000</v>
      </c>
    </row>
    <row r="138" spans="3:29" ht="38.25" x14ac:dyDescent="0.25">
      <c r="C138" s="5" t="s">
        <v>27</v>
      </c>
      <c r="D138" s="5" t="s">
        <v>28</v>
      </c>
      <c r="E138" s="5" t="s">
        <v>27</v>
      </c>
      <c r="F138" s="5" t="s">
        <v>28</v>
      </c>
      <c r="G138" s="5" t="s">
        <v>29</v>
      </c>
      <c r="H138" s="5" t="s">
        <v>30</v>
      </c>
      <c r="I138" s="5" t="s">
        <v>31</v>
      </c>
      <c r="J138" s="5" t="s">
        <v>32</v>
      </c>
      <c r="K138" s="5" t="s">
        <v>128</v>
      </c>
      <c r="L138" s="5" t="s">
        <v>129</v>
      </c>
      <c r="M138" s="14" t="s">
        <v>113</v>
      </c>
      <c r="N138" s="14" t="s">
        <v>38</v>
      </c>
      <c r="O138" s="14" t="s">
        <v>39</v>
      </c>
      <c r="P138" s="15">
        <v>603031400</v>
      </c>
      <c r="Q138" s="13"/>
      <c r="R138" s="13"/>
      <c r="S138" s="13"/>
      <c r="T138" s="13"/>
      <c r="U138" s="13"/>
      <c r="V138" s="10">
        <v>0</v>
      </c>
      <c r="W138" s="13"/>
      <c r="X138" s="13"/>
      <c r="Y138" s="10">
        <v>603031400</v>
      </c>
      <c r="Z138" s="13"/>
      <c r="AA138" s="13"/>
      <c r="AB138" s="13"/>
      <c r="AC138" s="4">
        <f t="shared" si="2"/>
        <v>603031400</v>
      </c>
    </row>
    <row r="139" spans="3:29" ht="51" x14ac:dyDescent="0.25">
      <c r="C139" s="5" t="s">
        <v>27</v>
      </c>
      <c r="D139" s="5" t="s">
        <v>28</v>
      </c>
      <c r="E139" s="5" t="s">
        <v>27</v>
      </c>
      <c r="F139" s="5" t="s">
        <v>28</v>
      </c>
      <c r="G139" s="5" t="s">
        <v>29</v>
      </c>
      <c r="H139" s="5" t="s">
        <v>30</v>
      </c>
      <c r="I139" s="5" t="s">
        <v>31</v>
      </c>
      <c r="J139" s="5" t="s">
        <v>32</v>
      </c>
      <c r="K139" s="5" t="s">
        <v>128</v>
      </c>
      <c r="L139" s="5" t="s">
        <v>129</v>
      </c>
      <c r="M139" s="5" t="s">
        <v>112</v>
      </c>
      <c r="N139" s="5" t="s">
        <v>50</v>
      </c>
      <c r="O139" s="5" t="s">
        <v>51</v>
      </c>
      <c r="P139" s="13">
        <v>12720480000</v>
      </c>
      <c r="Q139" s="13"/>
      <c r="R139" s="13"/>
      <c r="S139" s="13"/>
      <c r="T139" s="13"/>
      <c r="U139" s="13"/>
      <c r="V139" s="13"/>
      <c r="W139" s="13"/>
      <c r="X139" s="13"/>
      <c r="Y139" s="13">
        <v>12720480000</v>
      </c>
      <c r="Z139" s="13"/>
      <c r="AA139" s="13"/>
      <c r="AB139" s="13"/>
      <c r="AC139" s="4">
        <f t="shared" si="2"/>
        <v>12720480000</v>
      </c>
    </row>
    <row r="140" spans="3:29" ht="51" x14ac:dyDescent="0.25">
      <c r="C140" s="5" t="s">
        <v>27</v>
      </c>
      <c r="D140" s="5" t="s">
        <v>28</v>
      </c>
      <c r="E140" s="5" t="s">
        <v>27</v>
      </c>
      <c r="F140" s="5" t="s">
        <v>28</v>
      </c>
      <c r="G140" s="5" t="s">
        <v>29</v>
      </c>
      <c r="H140" s="5" t="s">
        <v>30</v>
      </c>
      <c r="I140" s="5" t="s">
        <v>31</v>
      </c>
      <c r="J140" s="5" t="s">
        <v>32</v>
      </c>
      <c r="K140" s="5" t="s">
        <v>128</v>
      </c>
      <c r="L140" s="5" t="s">
        <v>129</v>
      </c>
      <c r="M140" s="14" t="s">
        <v>121</v>
      </c>
      <c r="N140" s="14" t="s">
        <v>50</v>
      </c>
      <c r="O140" s="14" t="s">
        <v>51</v>
      </c>
      <c r="P140" s="15">
        <v>637868000</v>
      </c>
      <c r="Q140" s="13"/>
      <c r="R140" s="13"/>
      <c r="S140" s="13"/>
      <c r="T140" s="13"/>
      <c r="U140" s="12">
        <v>0</v>
      </c>
      <c r="V140" s="12">
        <v>0</v>
      </c>
      <c r="W140" s="11">
        <v>318934000</v>
      </c>
      <c r="X140" s="4"/>
      <c r="Y140" s="4"/>
      <c r="Z140" s="4"/>
      <c r="AA140" s="4"/>
      <c r="AB140" s="10">
        <v>318934000</v>
      </c>
      <c r="AC140" s="4">
        <f t="shared" si="2"/>
        <v>637868000</v>
      </c>
    </row>
    <row r="141" spans="3:29" ht="38.25" x14ac:dyDescent="0.25">
      <c r="C141" s="5" t="s">
        <v>27</v>
      </c>
      <c r="D141" s="5" t="s">
        <v>28</v>
      </c>
      <c r="E141" s="5" t="s">
        <v>27</v>
      </c>
      <c r="F141" s="5" t="s">
        <v>28</v>
      </c>
      <c r="G141" s="5" t="s">
        <v>29</v>
      </c>
      <c r="H141" s="5" t="s">
        <v>30</v>
      </c>
      <c r="I141" s="5" t="s">
        <v>31</v>
      </c>
      <c r="J141" s="5" t="s">
        <v>32</v>
      </c>
      <c r="K141" s="5" t="s">
        <v>128</v>
      </c>
      <c r="L141" s="5" t="s">
        <v>129</v>
      </c>
      <c r="M141" s="14" t="s">
        <v>121</v>
      </c>
      <c r="N141" s="14" t="s">
        <v>124</v>
      </c>
      <c r="O141" s="14" t="s">
        <v>125</v>
      </c>
      <c r="P141" s="15">
        <v>3251065652</v>
      </c>
      <c r="Q141" s="13"/>
      <c r="R141" s="13"/>
      <c r="S141" s="13"/>
      <c r="T141" s="13"/>
      <c r="U141" s="12">
        <v>0</v>
      </c>
      <c r="V141" s="12">
        <v>0</v>
      </c>
      <c r="W141" s="11">
        <v>1680319500</v>
      </c>
      <c r="X141" s="4"/>
      <c r="Y141" s="4"/>
      <c r="Z141" s="4"/>
      <c r="AA141" s="4"/>
      <c r="AB141" s="10">
        <v>1570746152</v>
      </c>
      <c r="AC141" s="4">
        <f t="shared" si="2"/>
        <v>3251065652</v>
      </c>
    </row>
    <row r="142" spans="3:29" ht="38.25" x14ac:dyDescent="0.25">
      <c r="C142" s="5" t="s">
        <v>27</v>
      </c>
      <c r="D142" s="5" t="s">
        <v>28</v>
      </c>
      <c r="E142" s="5" t="s">
        <v>27</v>
      </c>
      <c r="F142" s="5" t="s">
        <v>28</v>
      </c>
      <c r="G142" s="5" t="s">
        <v>29</v>
      </c>
      <c r="H142" s="5" t="s">
        <v>30</v>
      </c>
      <c r="I142" s="5" t="s">
        <v>31</v>
      </c>
      <c r="J142" s="5" t="s">
        <v>32</v>
      </c>
      <c r="K142" s="5" t="s">
        <v>128</v>
      </c>
      <c r="L142" s="5" t="s">
        <v>129</v>
      </c>
      <c r="M142" s="14" t="s">
        <v>121</v>
      </c>
      <c r="N142" s="14" t="s">
        <v>126</v>
      </c>
      <c r="O142" s="14" t="s">
        <v>127</v>
      </c>
      <c r="P142" s="15">
        <v>2376342219</v>
      </c>
      <c r="Q142" s="13"/>
      <c r="R142" s="13"/>
      <c r="S142" s="13">
        <v>0</v>
      </c>
      <c r="T142" s="13"/>
      <c r="U142" s="12">
        <v>0</v>
      </c>
      <c r="V142" s="12">
        <v>0</v>
      </c>
      <c r="W142" s="11">
        <v>895226400</v>
      </c>
      <c r="X142" s="12"/>
      <c r="Y142" s="12"/>
      <c r="Z142" s="11"/>
      <c r="AA142" s="4"/>
      <c r="AB142" s="11">
        <v>1481115819</v>
      </c>
      <c r="AC142" s="4">
        <f t="shared" si="2"/>
        <v>2376342219</v>
      </c>
    </row>
    <row r="143" spans="3:29" ht="38.25" x14ac:dyDescent="0.25">
      <c r="C143" s="5" t="s">
        <v>27</v>
      </c>
      <c r="D143" s="5" t="s">
        <v>28</v>
      </c>
      <c r="E143" s="5" t="s">
        <v>27</v>
      </c>
      <c r="F143" s="5" t="s">
        <v>28</v>
      </c>
      <c r="G143" s="5" t="s">
        <v>29</v>
      </c>
      <c r="H143" s="5" t="s">
        <v>30</v>
      </c>
      <c r="I143" s="5" t="s">
        <v>31</v>
      </c>
      <c r="J143" s="5" t="s">
        <v>32</v>
      </c>
      <c r="K143" s="5" t="s">
        <v>150</v>
      </c>
      <c r="L143" s="5" t="s">
        <v>151</v>
      </c>
      <c r="M143" s="14" t="s">
        <v>152</v>
      </c>
      <c r="N143" s="14" t="s">
        <v>44</v>
      </c>
      <c r="O143" s="14" t="s">
        <v>45</v>
      </c>
      <c r="P143" s="15">
        <v>311385898</v>
      </c>
      <c r="Q143" s="13"/>
      <c r="R143" s="13"/>
      <c r="S143" s="13">
        <v>43463998</v>
      </c>
      <c r="T143" s="13"/>
      <c r="U143" s="13"/>
      <c r="V143" s="10">
        <v>0</v>
      </c>
      <c r="W143" s="10">
        <v>267921900</v>
      </c>
      <c r="X143" s="13"/>
      <c r="Y143" s="13"/>
      <c r="Z143" s="13"/>
      <c r="AA143" s="13"/>
      <c r="AB143" s="13"/>
      <c r="AC143" s="4">
        <f t="shared" si="2"/>
        <v>311385898</v>
      </c>
    </row>
    <row r="144" spans="3:29" ht="38.25" x14ac:dyDescent="0.25">
      <c r="C144" s="5" t="s">
        <v>27</v>
      </c>
      <c r="D144" s="5" t="s">
        <v>28</v>
      </c>
      <c r="E144" s="5" t="s">
        <v>27</v>
      </c>
      <c r="F144" s="5" t="s">
        <v>28</v>
      </c>
      <c r="G144" s="5" t="s">
        <v>29</v>
      </c>
      <c r="H144" s="5" t="s">
        <v>30</v>
      </c>
      <c r="I144" s="5" t="s">
        <v>31</v>
      </c>
      <c r="J144" s="5" t="s">
        <v>32</v>
      </c>
      <c r="K144" s="5" t="s">
        <v>150</v>
      </c>
      <c r="L144" s="5" t="s">
        <v>151</v>
      </c>
      <c r="M144" s="14" t="s">
        <v>152</v>
      </c>
      <c r="N144" s="14" t="s">
        <v>48</v>
      </c>
      <c r="O144" s="14" t="s">
        <v>49</v>
      </c>
      <c r="P144" s="15">
        <v>282268000</v>
      </c>
      <c r="Q144" s="13"/>
      <c r="R144" s="13"/>
      <c r="S144" s="13">
        <v>52482000</v>
      </c>
      <c r="T144" s="13"/>
      <c r="U144" s="13"/>
      <c r="V144" s="10">
        <v>0</v>
      </c>
      <c r="W144" s="13"/>
      <c r="X144" s="10">
        <v>229786000</v>
      </c>
      <c r="Y144" s="13"/>
      <c r="Z144" s="13"/>
      <c r="AA144" s="13"/>
      <c r="AB144" s="13"/>
      <c r="AC144" s="4">
        <f t="shared" si="2"/>
        <v>282268000</v>
      </c>
    </row>
    <row r="145" spans="3:29" ht="38.25" x14ac:dyDescent="0.25">
      <c r="C145" s="5" t="s">
        <v>27</v>
      </c>
      <c r="D145" s="5" t="s">
        <v>28</v>
      </c>
      <c r="E145" s="5" t="s">
        <v>27</v>
      </c>
      <c r="F145" s="5" t="s">
        <v>28</v>
      </c>
      <c r="G145" s="5" t="s">
        <v>29</v>
      </c>
      <c r="H145" s="5" t="s">
        <v>30</v>
      </c>
      <c r="I145" s="5" t="s">
        <v>31</v>
      </c>
      <c r="J145" s="5" t="s">
        <v>32</v>
      </c>
      <c r="K145" s="5" t="s">
        <v>150</v>
      </c>
      <c r="L145" s="5" t="s">
        <v>151</v>
      </c>
      <c r="M145" s="5" t="s">
        <v>153</v>
      </c>
      <c r="N145" s="5" t="s">
        <v>38</v>
      </c>
      <c r="O145" s="5" t="s">
        <v>39</v>
      </c>
      <c r="P145" s="15">
        <v>216807500</v>
      </c>
      <c r="Q145" s="13"/>
      <c r="R145" s="13"/>
      <c r="S145" s="13"/>
      <c r="T145" s="13"/>
      <c r="U145" s="13"/>
      <c r="V145" s="13"/>
      <c r="W145" s="13"/>
      <c r="X145" s="13">
        <v>216807500</v>
      </c>
      <c r="Y145" s="13"/>
      <c r="Z145" s="13"/>
      <c r="AA145" s="13"/>
      <c r="AB145" s="13"/>
      <c r="AC145" s="4">
        <f t="shared" si="2"/>
        <v>216807500</v>
      </c>
    </row>
    <row r="146" spans="3:29" ht="63.75" x14ac:dyDescent="0.25">
      <c r="C146" s="5" t="s">
        <v>27</v>
      </c>
      <c r="D146" s="5" t="s">
        <v>28</v>
      </c>
      <c r="E146" s="5" t="s">
        <v>27</v>
      </c>
      <c r="F146" s="5" t="s">
        <v>28</v>
      </c>
      <c r="G146" s="5" t="s">
        <v>29</v>
      </c>
      <c r="H146" s="5" t="s">
        <v>30</v>
      </c>
      <c r="I146" s="5" t="s">
        <v>31</v>
      </c>
      <c r="J146" s="5" t="s">
        <v>32</v>
      </c>
      <c r="K146" s="5" t="s">
        <v>150</v>
      </c>
      <c r="L146" s="5" t="s">
        <v>151</v>
      </c>
      <c r="M146" s="5" t="s">
        <v>154</v>
      </c>
      <c r="N146" s="5" t="s">
        <v>86</v>
      </c>
      <c r="O146" s="5" t="s">
        <v>87</v>
      </c>
      <c r="P146" s="15">
        <v>12164300000</v>
      </c>
      <c r="Q146" s="13">
        <v>1013691667</v>
      </c>
      <c r="R146" s="13">
        <v>1348633333</v>
      </c>
      <c r="S146" s="13">
        <v>1690575000</v>
      </c>
      <c r="T146" s="13">
        <v>1349100000</v>
      </c>
      <c r="U146" s="13">
        <v>1349100000</v>
      </c>
      <c r="V146" s="13">
        <v>1349100000</v>
      </c>
      <c r="W146" s="13">
        <v>1349100000</v>
      </c>
      <c r="X146" s="13">
        <v>1349100000</v>
      </c>
      <c r="Y146" s="13">
        <v>1349100000</v>
      </c>
      <c r="Z146" s="13">
        <v>5600000</v>
      </c>
      <c r="AA146" s="13">
        <v>5600000</v>
      </c>
      <c r="AB146" s="13">
        <v>5600000</v>
      </c>
      <c r="AC146" s="4">
        <f t="shared" si="2"/>
        <v>12164300000</v>
      </c>
    </row>
    <row r="147" spans="3:29" ht="95.25" customHeight="1" x14ac:dyDescent="0.25">
      <c r="C147" s="5" t="s">
        <v>27</v>
      </c>
      <c r="D147" s="5" t="s">
        <v>28</v>
      </c>
      <c r="E147" s="5" t="s">
        <v>27</v>
      </c>
      <c r="F147" s="5" t="s">
        <v>28</v>
      </c>
      <c r="G147" s="5" t="s">
        <v>29</v>
      </c>
      <c r="H147" s="5" t="s">
        <v>30</v>
      </c>
      <c r="I147" s="5" t="s">
        <v>31</v>
      </c>
      <c r="J147" s="5" t="s">
        <v>32</v>
      </c>
      <c r="K147" s="5" t="s">
        <v>150</v>
      </c>
      <c r="L147" s="5" t="s">
        <v>151</v>
      </c>
      <c r="M147" s="5" t="s">
        <v>154</v>
      </c>
      <c r="N147" s="5" t="s">
        <v>90</v>
      </c>
      <c r="O147" s="5" t="s">
        <v>91</v>
      </c>
      <c r="P147" s="15">
        <v>72800000</v>
      </c>
      <c r="Q147" s="13">
        <v>6066666</v>
      </c>
      <c r="R147" s="13">
        <v>5600000</v>
      </c>
      <c r="S147" s="13">
        <v>10733334</v>
      </c>
      <c r="T147" s="13">
        <v>5600000</v>
      </c>
      <c r="U147" s="13">
        <v>5600000</v>
      </c>
      <c r="V147" s="13">
        <v>5600000</v>
      </c>
      <c r="W147" s="13">
        <v>5600000</v>
      </c>
      <c r="X147" s="13">
        <v>5600000</v>
      </c>
      <c r="Y147" s="13">
        <v>5600000</v>
      </c>
      <c r="Z147" s="13">
        <v>5600000</v>
      </c>
      <c r="AA147" s="13">
        <v>5600000</v>
      </c>
      <c r="AB147" s="13">
        <v>5600000</v>
      </c>
      <c r="AC147" s="4">
        <f t="shared" si="2"/>
        <v>72800000</v>
      </c>
    </row>
    <row r="148" spans="3:29" ht="63.75" x14ac:dyDescent="0.25">
      <c r="C148" s="5" t="s">
        <v>27</v>
      </c>
      <c r="D148" s="5" t="s">
        <v>28</v>
      </c>
      <c r="E148" s="5" t="s">
        <v>27</v>
      </c>
      <c r="F148" s="5" t="s">
        <v>28</v>
      </c>
      <c r="G148" s="5" t="s">
        <v>29</v>
      </c>
      <c r="H148" s="5" t="s">
        <v>30</v>
      </c>
      <c r="I148" s="5" t="s">
        <v>31</v>
      </c>
      <c r="J148" s="5" t="s">
        <v>32</v>
      </c>
      <c r="K148" s="5" t="s">
        <v>150</v>
      </c>
      <c r="L148" s="5" t="s">
        <v>151</v>
      </c>
      <c r="M148" s="5" t="s">
        <v>154</v>
      </c>
      <c r="N148" s="5" t="s">
        <v>92</v>
      </c>
      <c r="O148" s="5" t="s">
        <v>93</v>
      </c>
      <c r="P148" s="15">
        <v>4800000</v>
      </c>
      <c r="Q148" s="13">
        <v>400000</v>
      </c>
      <c r="R148" s="13">
        <v>440000</v>
      </c>
      <c r="S148" s="13">
        <v>480000</v>
      </c>
      <c r="T148" s="13">
        <v>440000</v>
      </c>
      <c r="U148" s="10">
        <v>450000</v>
      </c>
      <c r="V148" s="10">
        <v>442000</v>
      </c>
      <c r="W148" s="10">
        <v>442000</v>
      </c>
      <c r="X148" s="10">
        <v>442000</v>
      </c>
      <c r="Y148" s="10">
        <v>442000</v>
      </c>
      <c r="Z148" s="10">
        <v>442000</v>
      </c>
      <c r="AA148" s="10">
        <v>380000</v>
      </c>
      <c r="AB148" s="13"/>
      <c r="AC148" s="4">
        <f t="shared" si="2"/>
        <v>4800000</v>
      </c>
    </row>
    <row r="149" spans="3:29" ht="63.75" x14ac:dyDescent="0.25">
      <c r="C149" s="5" t="s">
        <v>27</v>
      </c>
      <c r="D149" s="5" t="s">
        <v>28</v>
      </c>
      <c r="E149" s="5" t="s">
        <v>27</v>
      </c>
      <c r="F149" s="5" t="s">
        <v>28</v>
      </c>
      <c r="G149" s="5" t="s">
        <v>29</v>
      </c>
      <c r="H149" s="5" t="s">
        <v>30</v>
      </c>
      <c r="I149" s="5" t="s">
        <v>31</v>
      </c>
      <c r="J149" s="5" t="s">
        <v>32</v>
      </c>
      <c r="K149" s="5" t="s">
        <v>150</v>
      </c>
      <c r="L149" s="5" t="s">
        <v>151</v>
      </c>
      <c r="M149" s="5" t="s">
        <v>154</v>
      </c>
      <c r="N149" s="5" t="s">
        <v>94</v>
      </c>
      <c r="O149" s="5" t="s">
        <v>95</v>
      </c>
      <c r="P149" s="15">
        <v>161256</v>
      </c>
      <c r="Q149" s="13">
        <v>13438</v>
      </c>
      <c r="R149" s="13">
        <v>13438</v>
      </c>
      <c r="S149" s="13">
        <v>13438</v>
      </c>
      <c r="T149" s="13">
        <v>13438</v>
      </c>
      <c r="U149" s="10">
        <v>13448</v>
      </c>
      <c r="V149" s="10">
        <v>13440</v>
      </c>
      <c r="W149" s="10">
        <v>13440</v>
      </c>
      <c r="X149" s="10">
        <v>13440</v>
      </c>
      <c r="Y149" s="10">
        <v>13440</v>
      </c>
      <c r="Z149" s="10">
        <v>13440</v>
      </c>
      <c r="AA149" s="10">
        <v>13440</v>
      </c>
      <c r="AB149" s="10">
        <v>13416</v>
      </c>
      <c r="AC149" s="4">
        <f t="shared" si="2"/>
        <v>161256</v>
      </c>
    </row>
    <row r="150" spans="3:29" ht="75" customHeight="1" x14ac:dyDescent="0.25">
      <c r="C150" s="5" t="s">
        <v>27</v>
      </c>
      <c r="D150" s="5" t="s">
        <v>28</v>
      </c>
      <c r="E150" s="5" t="s">
        <v>27</v>
      </c>
      <c r="F150" s="5" t="s">
        <v>28</v>
      </c>
      <c r="G150" s="5" t="s">
        <v>29</v>
      </c>
      <c r="H150" s="5" t="s">
        <v>30</v>
      </c>
      <c r="I150" s="5" t="s">
        <v>31</v>
      </c>
      <c r="J150" s="5" t="s">
        <v>32</v>
      </c>
      <c r="K150" s="5" t="s">
        <v>150</v>
      </c>
      <c r="L150" s="5" t="s">
        <v>151</v>
      </c>
      <c r="M150" s="5" t="s">
        <v>154</v>
      </c>
      <c r="N150" s="5" t="s">
        <v>345</v>
      </c>
      <c r="O150" s="5" t="s">
        <v>342</v>
      </c>
      <c r="P150" s="15">
        <v>4800000</v>
      </c>
      <c r="Q150" s="13">
        <v>400000</v>
      </c>
      <c r="R150" s="13">
        <v>440000</v>
      </c>
      <c r="S150" s="13">
        <v>480000</v>
      </c>
      <c r="T150" s="13">
        <v>440000</v>
      </c>
      <c r="U150" s="10">
        <v>450000</v>
      </c>
      <c r="V150" s="10">
        <v>442000</v>
      </c>
      <c r="W150" s="10">
        <v>442000</v>
      </c>
      <c r="X150" s="10">
        <v>442000</v>
      </c>
      <c r="Y150" s="10">
        <v>442000</v>
      </c>
      <c r="Z150" s="10">
        <v>442000</v>
      </c>
      <c r="AA150" s="10">
        <v>380000</v>
      </c>
      <c r="AB150" s="13"/>
      <c r="AC150" s="4">
        <f t="shared" si="2"/>
        <v>4800000</v>
      </c>
    </row>
    <row r="151" spans="3:29" ht="88.5" customHeight="1" x14ac:dyDescent="0.25">
      <c r="C151" s="5" t="s">
        <v>27</v>
      </c>
      <c r="D151" s="5" t="s">
        <v>28</v>
      </c>
      <c r="E151" s="5" t="s">
        <v>27</v>
      </c>
      <c r="F151" s="5" t="s">
        <v>28</v>
      </c>
      <c r="G151" s="5" t="s">
        <v>29</v>
      </c>
      <c r="H151" s="5" t="s">
        <v>30</v>
      </c>
      <c r="I151" s="5" t="s">
        <v>31</v>
      </c>
      <c r="J151" s="5" t="s">
        <v>32</v>
      </c>
      <c r="K151" s="5" t="s">
        <v>150</v>
      </c>
      <c r="L151" s="5" t="s">
        <v>151</v>
      </c>
      <c r="M151" s="5" t="s">
        <v>154</v>
      </c>
      <c r="N151" s="5" t="s">
        <v>349</v>
      </c>
      <c r="O151" s="5" t="s">
        <v>350</v>
      </c>
      <c r="P151" s="15">
        <v>161256</v>
      </c>
      <c r="Q151" s="13">
        <v>13438</v>
      </c>
      <c r="R151" s="13">
        <v>13438</v>
      </c>
      <c r="S151" s="13">
        <v>13438</v>
      </c>
      <c r="T151" s="13">
        <v>13438</v>
      </c>
      <c r="U151" s="10">
        <v>13448</v>
      </c>
      <c r="V151" s="10">
        <v>13440</v>
      </c>
      <c r="W151" s="10">
        <v>13440</v>
      </c>
      <c r="X151" s="10">
        <v>13440</v>
      </c>
      <c r="Y151" s="10">
        <v>13440</v>
      </c>
      <c r="Z151" s="10">
        <v>13440</v>
      </c>
      <c r="AA151" s="10">
        <v>13440</v>
      </c>
      <c r="AB151" s="10">
        <v>13416</v>
      </c>
      <c r="AC151" s="4">
        <f t="shared" si="2"/>
        <v>161256</v>
      </c>
    </row>
    <row r="152" spans="3:29" ht="83.25" customHeight="1" x14ac:dyDescent="0.25">
      <c r="C152" s="5" t="s">
        <v>27</v>
      </c>
      <c r="D152" s="5" t="s">
        <v>28</v>
      </c>
      <c r="E152" s="5" t="s">
        <v>27</v>
      </c>
      <c r="F152" s="5" t="s">
        <v>28</v>
      </c>
      <c r="G152" s="5" t="s">
        <v>29</v>
      </c>
      <c r="H152" s="5" t="s">
        <v>30</v>
      </c>
      <c r="I152" s="5" t="s">
        <v>31</v>
      </c>
      <c r="J152" s="5" t="s">
        <v>32</v>
      </c>
      <c r="K152" s="5" t="s">
        <v>150</v>
      </c>
      <c r="L152" s="5" t="s">
        <v>151</v>
      </c>
      <c r="M152" s="5" t="s">
        <v>154</v>
      </c>
      <c r="N152" s="5" t="s">
        <v>353</v>
      </c>
      <c r="O152" s="5" t="s">
        <v>354</v>
      </c>
      <c r="P152" s="15">
        <v>483840</v>
      </c>
      <c r="Q152" s="13">
        <v>40320</v>
      </c>
      <c r="R152" s="13">
        <v>40320</v>
      </c>
      <c r="S152" s="13">
        <v>40320</v>
      </c>
      <c r="T152" s="13">
        <v>40320</v>
      </c>
      <c r="U152" s="13">
        <v>40320</v>
      </c>
      <c r="V152" s="13">
        <v>40320</v>
      </c>
      <c r="W152" s="13">
        <v>40320</v>
      </c>
      <c r="X152" s="13">
        <v>40320</v>
      </c>
      <c r="Y152" s="13">
        <v>40320</v>
      </c>
      <c r="Z152" s="13">
        <v>40320</v>
      </c>
      <c r="AA152" s="13">
        <v>40320</v>
      </c>
      <c r="AB152" s="13">
        <v>40320</v>
      </c>
      <c r="AC152" s="4">
        <f t="shared" si="2"/>
        <v>483840</v>
      </c>
    </row>
    <row r="153" spans="3:29" ht="63.75" x14ac:dyDescent="0.25">
      <c r="C153" s="5" t="s">
        <v>27</v>
      </c>
      <c r="D153" s="5" t="s">
        <v>28</v>
      </c>
      <c r="E153" s="5" t="s">
        <v>27</v>
      </c>
      <c r="F153" s="5" t="s">
        <v>28</v>
      </c>
      <c r="G153" s="5" t="s">
        <v>29</v>
      </c>
      <c r="H153" s="5" t="s">
        <v>30</v>
      </c>
      <c r="I153" s="5" t="s">
        <v>31</v>
      </c>
      <c r="J153" s="5" t="s">
        <v>32</v>
      </c>
      <c r="K153" s="5" t="s">
        <v>150</v>
      </c>
      <c r="L153" s="5" t="s">
        <v>151</v>
      </c>
      <c r="M153" s="5" t="s">
        <v>154</v>
      </c>
      <c r="N153" s="5" t="s">
        <v>96</v>
      </c>
      <c r="O153" s="5" t="s">
        <v>97</v>
      </c>
      <c r="P153" s="15">
        <v>483840</v>
      </c>
      <c r="Q153" s="13">
        <v>40320</v>
      </c>
      <c r="R153" s="13">
        <v>40320</v>
      </c>
      <c r="S153" s="13">
        <v>40320</v>
      </c>
      <c r="T153" s="13">
        <v>40320</v>
      </c>
      <c r="U153" s="13">
        <v>40320</v>
      </c>
      <c r="V153" s="13">
        <v>40320</v>
      </c>
      <c r="W153" s="13">
        <v>40320</v>
      </c>
      <c r="X153" s="13">
        <v>40320</v>
      </c>
      <c r="Y153" s="13">
        <v>40320</v>
      </c>
      <c r="Z153" s="13">
        <v>40320</v>
      </c>
      <c r="AA153" s="13">
        <v>40320</v>
      </c>
      <c r="AB153" s="13">
        <v>40320</v>
      </c>
      <c r="AC153" s="4">
        <f t="shared" si="2"/>
        <v>483840</v>
      </c>
    </row>
    <row r="154" spans="3:29" ht="76.5" x14ac:dyDescent="0.25">
      <c r="C154" s="5" t="s">
        <v>27</v>
      </c>
      <c r="D154" s="5" t="s">
        <v>28</v>
      </c>
      <c r="E154" s="5" t="s">
        <v>27</v>
      </c>
      <c r="F154" s="5" t="s">
        <v>28</v>
      </c>
      <c r="G154" s="5" t="s">
        <v>29</v>
      </c>
      <c r="H154" s="5" t="s">
        <v>30</v>
      </c>
      <c r="I154" s="5" t="s">
        <v>31</v>
      </c>
      <c r="J154" s="5" t="s">
        <v>32</v>
      </c>
      <c r="K154" s="5" t="s">
        <v>150</v>
      </c>
      <c r="L154" s="5" t="s">
        <v>151</v>
      </c>
      <c r="M154" s="5" t="s">
        <v>155</v>
      </c>
      <c r="N154" s="5" t="s">
        <v>61</v>
      </c>
      <c r="O154" s="5" t="s">
        <v>62</v>
      </c>
      <c r="P154" s="15">
        <v>82067400</v>
      </c>
      <c r="Q154" s="13"/>
      <c r="R154" s="13">
        <v>12728400</v>
      </c>
      <c r="S154" s="13"/>
      <c r="T154" s="13">
        <v>4750200</v>
      </c>
      <c r="U154" s="13">
        <v>64588800</v>
      </c>
      <c r="V154" s="13"/>
      <c r="W154" s="13"/>
      <c r="X154" s="13"/>
      <c r="Y154" s="13"/>
      <c r="Z154" s="13"/>
      <c r="AA154" s="13"/>
      <c r="AB154" s="13"/>
      <c r="AC154" s="4">
        <f t="shared" si="2"/>
        <v>82067400</v>
      </c>
    </row>
    <row r="155" spans="3:29" ht="76.5" x14ac:dyDescent="0.25">
      <c r="C155" s="5" t="s">
        <v>27</v>
      </c>
      <c r="D155" s="5" t="s">
        <v>28</v>
      </c>
      <c r="E155" s="5" t="s">
        <v>27</v>
      </c>
      <c r="F155" s="5" t="s">
        <v>28</v>
      </c>
      <c r="G155" s="5" t="s">
        <v>29</v>
      </c>
      <c r="H155" s="5" t="s">
        <v>30</v>
      </c>
      <c r="I155" s="5" t="s">
        <v>31</v>
      </c>
      <c r="J155" s="5" t="s">
        <v>32</v>
      </c>
      <c r="K155" s="5" t="s">
        <v>150</v>
      </c>
      <c r="L155" s="5" t="s">
        <v>151</v>
      </c>
      <c r="M155" s="5" t="s">
        <v>155</v>
      </c>
      <c r="N155" s="5" t="s">
        <v>99</v>
      </c>
      <c r="O155" s="5" t="s">
        <v>100</v>
      </c>
      <c r="P155" s="15">
        <v>49341600</v>
      </c>
      <c r="Q155" s="13"/>
      <c r="R155" s="13"/>
      <c r="S155" s="13"/>
      <c r="T155" s="13"/>
      <c r="U155" s="13">
        <v>49341600</v>
      </c>
      <c r="V155" s="13"/>
      <c r="W155" s="13"/>
      <c r="X155" s="13"/>
      <c r="Y155" s="13"/>
      <c r="Z155" s="13"/>
      <c r="AA155" s="13"/>
      <c r="AB155" s="13"/>
      <c r="AC155" s="4">
        <f t="shared" si="2"/>
        <v>49341600</v>
      </c>
    </row>
    <row r="156" spans="3:29" ht="76.5" x14ac:dyDescent="0.25">
      <c r="C156" s="5" t="s">
        <v>27</v>
      </c>
      <c r="D156" s="5" t="s">
        <v>28</v>
      </c>
      <c r="E156" s="5" t="s">
        <v>27</v>
      </c>
      <c r="F156" s="5" t="s">
        <v>28</v>
      </c>
      <c r="G156" s="5" t="s">
        <v>29</v>
      </c>
      <c r="H156" s="5" t="s">
        <v>30</v>
      </c>
      <c r="I156" s="5" t="s">
        <v>31</v>
      </c>
      <c r="J156" s="5" t="s">
        <v>32</v>
      </c>
      <c r="K156" s="5" t="s">
        <v>150</v>
      </c>
      <c r="L156" s="5" t="s">
        <v>151</v>
      </c>
      <c r="M156" s="5" t="s">
        <v>155</v>
      </c>
      <c r="N156" s="5" t="s">
        <v>63</v>
      </c>
      <c r="O156" s="5" t="s">
        <v>64</v>
      </c>
      <c r="P156" s="15">
        <v>86346000</v>
      </c>
      <c r="Q156" s="13"/>
      <c r="R156" s="13">
        <v>16236000</v>
      </c>
      <c r="S156" s="13"/>
      <c r="T156" s="13"/>
      <c r="U156" s="13">
        <v>70110000</v>
      </c>
      <c r="V156" s="13"/>
      <c r="W156" s="13"/>
      <c r="X156" s="13"/>
      <c r="Y156" s="13"/>
      <c r="Z156" s="13"/>
      <c r="AA156" s="13"/>
      <c r="AB156" s="13"/>
      <c r="AC156" s="4">
        <f t="shared" si="2"/>
        <v>86346000</v>
      </c>
    </row>
    <row r="157" spans="3:29" ht="76.5" x14ac:dyDescent="0.25">
      <c r="C157" s="5" t="s">
        <v>27</v>
      </c>
      <c r="D157" s="5" t="s">
        <v>28</v>
      </c>
      <c r="E157" s="5" t="s">
        <v>27</v>
      </c>
      <c r="F157" s="5" t="s">
        <v>28</v>
      </c>
      <c r="G157" s="5" t="s">
        <v>29</v>
      </c>
      <c r="H157" s="5" t="s">
        <v>30</v>
      </c>
      <c r="I157" s="5" t="s">
        <v>31</v>
      </c>
      <c r="J157" s="5" t="s">
        <v>32</v>
      </c>
      <c r="K157" s="5" t="s">
        <v>150</v>
      </c>
      <c r="L157" s="5" t="s">
        <v>151</v>
      </c>
      <c r="M157" s="5" t="s">
        <v>155</v>
      </c>
      <c r="N157" s="5" t="s">
        <v>101</v>
      </c>
      <c r="O157" s="5" t="s">
        <v>102</v>
      </c>
      <c r="P157" s="15">
        <v>168168000</v>
      </c>
      <c r="Q157" s="13"/>
      <c r="R157" s="13"/>
      <c r="S157" s="13"/>
      <c r="T157" s="13"/>
      <c r="U157" s="13">
        <v>168168000</v>
      </c>
      <c r="V157" s="13"/>
      <c r="W157" s="13"/>
      <c r="X157" s="13"/>
      <c r="Y157" s="13"/>
      <c r="Z157" s="13"/>
      <c r="AA157" s="13"/>
      <c r="AB157" s="13"/>
      <c r="AC157" s="4">
        <f t="shared" si="2"/>
        <v>168168000</v>
      </c>
    </row>
    <row r="158" spans="3:29" ht="76.5" x14ac:dyDescent="0.25">
      <c r="C158" s="5" t="s">
        <v>27</v>
      </c>
      <c r="D158" s="5" t="s">
        <v>28</v>
      </c>
      <c r="E158" s="5" t="s">
        <v>27</v>
      </c>
      <c r="F158" s="5" t="s">
        <v>28</v>
      </c>
      <c r="G158" s="5" t="s">
        <v>29</v>
      </c>
      <c r="H158" s="5" t="s">
        <v>30</v>
      </c>
      <c r="I158" s="5" t="s">
        <v>31</v>
      </c>
      <c r="J158" s="5" t="s">
        <v>32</v>
      </c>
      <c r="K158" s="5" t="s">
        <v>150</v>
      </c>
      <c r="L158" s="5" t="s">
        <v>151</v>
      </c>
      <c r="M158" s="5" t="s">
        <v>155</v>
      </c>
      <c r="N158" s="5" t="s">
        <v>69</v>
      </c>
      <c r="O158" s="5" t="s">
        <v>70</v>
      </c>
      <c r="P158" s="15">
        <v>165600000</v>
      </c>
      <c r="Q158" s="13"/>
      <c r="R158" s="13">
        <v>21600000</v>
      </c>
      <c r="S158" s="13"/>
      <c r="T158" s="13"/>
      <c r="U158" s="13">
        <v>144000000</v>
      </c>
      <c r="V158" s="13"/>
      <c r="W158" s="13"/>
      <c r="X158" s="13"/>
      <c r="Y158" s="13"/>
      <c r="Z158" s="13"/>
      <c r="AA158" s="13"/>
      <c r="AB158" s="13"/>
      <c r="AC158" s="4">
        <f t="shared" si="2"/>
        <v>165600000</v>
      </c>
    </row>
    <row r="159" spans="3:29" ht="76.5" x14ac:dyDescent="0.25">
      <c r="C159" s="5" t="s">
        <v>27</v>
      </c>
      <c r="D159" s="5" t="s">
        <v>28</v>
      </c>
      <c r="E159" s="5" t="s">
        <v>27</v>
      </c>
      <c r="F159" s="5" t="s">
        <v>28</v>
      </c>
      <c r="G159" s="5" t="s">
        <v>29</v>
      </c>
      <c r="H159" s="5" t="s">
        <v>30</v>
      </c>
      <c r="I159" s="5" t="s">
        <v>31</v>
      </c>
      <c r="J159" s="5" t="s">
        <v>32</v>
      </c>
      <c r="K159" s="5" t="s">
        <v>150</v>
      </c>
      <c r="L159" s="5" t="s">
        <v>151</v>
      </c>
      <c r="M159" s="5" t="s">
        <v>155</v>
      </c>
      <c r="N159" s="5" t="s">
        <v>103</v>
      </c>
      <c r="O159" s="5" t="s">
        <v>104</v>
      </c>
      <c r="P159" s="15">
        <v>491400000</v>
      </c>
      <c r="Q159" s="13"/>
      <c r="R159" s="13">
        <v>92400000</v>
      </c>
      <c r="S159" s="13"/>
      <c r="T159" s="13">
        <v>91350000</v>
      </c>
      <c r="U159" s="13">
        <v>307650000</v>
      </c>
      <c r="V159" s="13"/>
      <c r="W159" s="13"/>
      <c r="X159" s="13"/>
      <c r="Y159" s="13"/>
      <c r="Z159" s="13"/>
      <c r="AA159" s="13"/>
      <c r="AB159" s="13"/>
      <c r="AC159" s="4">
        <f t="shared" si="2"/>
        <v>491400000</v>
      </c>
    </row>
    <row r="160" spans="3:29" ht="76.5" x14ac:dyDescent="0.25">
      <c r="C160" s="5" t="s">
        <v>27</v>
      </c>
      <c r="D160" s="5" t="s">
        <v>28</v>
      </c>
      <c r="E160" s="5" t="s">
        <v>27</v>
      </c>
      <c r="F160" s="5" t="s">
        <v>28</v>
      </c>
      <c r="G160" s="5" t="s">
        <v>29</v>
      </c>
      <c r="H160" s="5" t="s">
        <v>30</v>
      </c>
      <c r="I160" s="5" t="s">
        <v>31</v>
      </c>
      <c r="J160" s="5" t="s">
        <v>32</v>
      </c>
      <c r="K160" s="5" t="s">
        <v>150</v>
      </c>
      <c r="L160" s="5" t="s">
        <v>151</v>
      </c>
      <c r="M160" s="5" t="s">
        <v>155</v>
      </c>
      <c r="N160" s="5" t="s">
        <v>107</v>
      </c>
      <c r="O160" s="5" t="s">
        <v>108</v>
      </c>
      <c r="P160" s="15">
        <v>35180000</v>
      </c>
      <c r="Q160" s="13"/>
      <c r="R160" s="13">
        <v>7036000</v>
      </c>
      <c r="S160" s="13"/>
      <c r="T160" s="13"/>
      <c r="U160" s="13">
        <v>28144000</v>
      </c>
      <c r="V160" s="13"/>
      <c r="W160" s="13"/>
      <c r="X160" s="13"/>
      <c r="Y160" s="13"/>
      <c r="Z160" s="13"/>
      <c r="AA160" s="13"/>
      <c r="AB160" s="13"/>
      <c r="AC160" s="4">
        <f t="shared" si="2"/>
        <v>35180000</v>
      </c>
    </row>
    <row r="161" spans="3:29" ht="51" x14ac:dyDescent="0.25">
      <c r="C161" s="5" t="s">
        <v>27</v>
      </c>
      <c r="D161" s="5" t="s">
        <v>28</v>
      </c>
      <c r="E161" s="5" t="s">
        <v>27</v>
      </c>
      <c r="F161" s="5" t="s">
        <v>28</v>
      </c>
      <c r="G161" s="5" t="s">
        <v>29</v>
      </c>
      <c r="H161" s="5" t="s">
        <v>30</v>
      </c>
      <c r="I161" s="5" t="s">
        <v>31</v>
      </c>
      <c r="J161" s="5" t="s">
        <v>32</v>
      </c>
      <c r="K161" s="5" t="s">
        <v>150</v>
      </c>
      <c r="L161" s="5" t="s">
        <v>151</v>
      </c>
      <c r="M161" s="14" t="s">
        <v>156</v>
      </c>
      <c r="N161" s="14" t="s">
        <v>61</v>
      </c>
      <c r="O161" s="14" t="s">
        <v>62</v>
      </c>
      <c r="P161" s="15">
        <v>62929200</v>
      </c>
      <c r="Q161" s="13"/>
      <c r="R161" s="13"/>
      <c r="S161" s="13">
        <v>52077200</v>
      </c>
      <c r="T161" s="13"/>
      <c r="U161" s="13"/>
      <c r="V161" s="10">
        <v>0</v>
      </c>
      <c r="W161" s="13">
        <v>0</v>
      </c>
      <c r="X161" s="10">
        <v>10852000</v>
      </c>
      <c r="Y161" s="13"/>
      <c r="Z161" s="13">
        <v>0</v>
      </c>
      <c r="AA161" s="13"/>
      <c r="AB161" s="13"/>
      <c r="AC161" s="4">
        <f t="shared" si="2"/>
        <v>62929200</v>
      </c>
    </row>
    <row r="162" spans="3:29" ht="51" x14ac:dyDescent="0.25">
      <c r="C162" s="5" t="s">
        <v>27</v>
      </c>
      <c r="D162" s="5" t="s">
        <v>28</v>
      </c>
      <c r="E162" s="5" t="s">
        <v>27</v>
      </c>
      <c r="F162" s="5" t="s">
        <v>28</v>
      </c>
      <c r="G162" s="5" t="s">
        <v>29</v>
      </c>
      <c r="H162" s="5" t="s">
        <v>30</v>
      </c>
      <c r="I162" s="5" t="s">
        <v>31</v>
      </c>
      <c r="J162" s="5" t="s">
        <v>32</v>
      </c>
      <c r="K162" s="5" t="s">
        <v>150</v>
      </c>
      <c r="L162" s="5" t="s">
        <v>151</v>
      </c>
      <c r="M162" s="5" t="s">
        <v>156</v>
      </c>
      <c r="N162" s="5" t="s">
        <v>157</v>
      </c>
      <c r="O162" s="5" t="s">
        <v>158</v>
      </c>
      <c r="P162" s="15">
        <v>10660000</v>
      </c>
      <c r="Q162" s="13"/>
      <c r="R162" s="13"/>
      <c r="S162" s="13">
        <v>10660000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4">
        <f t="shared" si="2"/>
        <v>10660000</v>
      </c>
    </row>
    <row r="163" spans="3:29" ht="38.25" x14ac:dyDescent="0.25">
      <c r="C163" s="5" t="s">
        <v>27</v>
      </c>
      <c r="D163" s="5" t="s">
        <v>28</v>
      </c>
      <c r="E163" s="5" t="s">
        <v>27</v>
      </c>
      <c r="F163" s="5" t="s">
        <v>28</v>
      </c>
      <c r="G163" s="5" t="s">
        <v>29</v>
      </c>
      <c r="H163" s="5" t="s">
        <v>30</v>
      </c>
      <c r="I163" s="5" t="s">
        <v>31</v>
      </c>
      <c r="J163" s="5" t="s">
        <v>32</v>
      </c>
      <c r="K163" s="5" t="s">
        <v>150</v>
      </c>
      <c r="L163" s="5" t="s">
        <v>151</v>
      </c>
      <c r="M163" s="14" t="s">
        <v>156</v>
      </c>
      <c r="N163" s="14" t="s">
        <v>65</v>
      </c>
      <c r="O163" s="14" t="s">
        <v>66</v>
      </c>
      <c r="P163" s="15">
        <v>109200000</v>
      </c>
      <c r="Q163" s="13"/>
      <c r="R163" s="13"/>
      <c r="S163" s="13">
        <v>36400000</v>
      </c>
      <c r="T163" s="13"/>
      <c r="U163" s="13">
        <v>36400000</v>
      </c>
      <c r="V163" s="10">
        <v>0</v>
      </c>
      <c r="W163" s="13">
        <v>0</v>
      </c>
      <c r="X163" s="10">
        <v>36400000</v>
      </c>
      <c r="Y163" s="13"/>
      <c r="Z163" s="13">
        <v>0</v>
      </c>
      <c r="AA163" s="13"/>
      <c r="AB163" s="13"/>
      <c r="AC163" s="4">
        <f t="shared" si="2"/>
        <v>109200000</v>
      </c>
    </row>
    <row r="164" spans="3:29" ht="76.5" x14ac:dyDescent="0.25">
      <c r="C164" s="5" t="s">
        <v>27</v>
      </c>
      <c r="D164" s="5" t="s">
        <v>28</v>
      </c>
      <c r="E164" s="5" t="s">
        <v>27</v>
      </c>
      <c r="F164" s="5" t="s">
        <v>28</v>
      </c>
      <c r="G164" s="5" t="s">
        <v>29</v>
      </c>
      <c r="H164" s="5" t="s">
        <v>30</v>
      </c>
      <c r="I164" s="5" t="s">
        <v>31</v>
      </c>
      <c r="J164" s="5" t="s">
        <v>32</v>
      </c>
      <c r="K164" s="5" t="s">
        <v>150</v>
      </c>
      <c r="L164" s="5" t="s">
        <v>151</v>
      </c>
      <c r="M164" s="14" t="s">
        <v>156</v>
      </c>
      <c r="N164" s="14" t="s">
        <v>69</v>
      </c>
      <c r="O164" s="14" t="s">
        <v>70</v>
      </c>
      <c r="P164" s="15">
        <v>61800000</v>
      </c>
      <c r="Q164" s="13"/>
      <c r="R164" s="13"/>
      <c r="S164" s="13">
        <v>33000000</v>
      </c>
      <c r="T164" s="13"/>
      <c r="U164" s="13">
        <v>14400000</v>
      </c>
      <c r="V164" s="10">
        <v>0</v>
      </c>
      <c r="W164" s="13">
        <v>0</v>
      </c>
      <c r="X164" s="10">
        <v>14400000</v>
      </c>
      <c r="Y164" s="13"/>
      <c r="Z164" s="13">
        <v>0</v>
      </c>
      <c r="AA164" s="13"/>
      <c r="AB164" s="13"/>
      <c r="AC164" s="4">
        <f t="shared" si="2"/>
        <v>61800000</v>
      </c>
    </row>
    <row r="165" spans="3:29" ht="38.25" x14ac:dyDescent="0.25">
      <c r="C165" s="5" t="s">
        <v>27</v>
      </c>
      <c r="D165" s="5" t="s">
        <v>28</v>
      </c>
      <c r="E165" s="5" t="s">
        <v>27</v>
      </c>
      <c r="F165" s="5" t="s">
        <v>28</v>
      </c>
      <c r="G165" s="5" t="s">
        <v>29</v>
      </c>
      <c r="H165" s="5" t="s">
        <v>30</v>
      </c>
      <c r="I165" s="5" t="s">
        <v>31</v>
      </c>
      <c r="J165" s="5" t="s">
        <v>32</v>
      </c>
      <c r="K165" s="5" t="s">
        <v>150</v>
      </c>
      <c r="L165" s="5" t="s">
        <v>151</v>
      </c>
      <c r="M165" s="5" t="s">
        <v>156</v>
      </c>
      <c r="N165" s="5" t="s">
        <v>103</v>
      </c>
      <c r="O165" s="5" t="s">
        <v>104</v>
      </c>
      <c r="P165" s="15">
        <v>385000000</v>
      </c>
      <c r="Q165" s="13"/>
      <c r="R165" s="13"/>
      <c r="S165" s="13">
        <v>385000000</v>
      </c>
      <c r="T165" s="13"/>
      <c r="U165" s="13"/>
      <c r="V165" s="13"/>
      <c r="W165" s="13"/>
      <c r="X165" s="13"/>
      <c r="Y165" s="13"/>
      <c r="Z165" s="13"/>
      <c r="AA165" s="13"/>
      <c r="AB165" s="13"/>
      <c r="AC165" s="4">
        <f t="shared" si="2"/>
        <v>385000000</v>
      </c>
    </row>
    <row r="166" spans="3:29" ht="38.25" x14ac:dyDescent="0.25">
      <c r="C166" s="5" t="s">
        <v>27</v>
      </c>
      <c r="D166" s="5" t="s">
        <v>28</v>
      </c>
      <c r="E166" s="5" t="s">
        <v>27</v>
      </c>
      <c r="F166" s="5" t="s">
        <v>28</v>
      </c>
      <c r="G166" s="5" t="s">
        <v>29</v>
      </c>
      <c r="H166" s="5" t="s">
        <v>30</v>
      </c>
      <c r="I166" s="5" t="s">
        <v>31</v>
      </c>
      <c r="J166" s="5" t="s">
        <v>32</v>
      </c>
      <c r="K166" s="5" t="s">
        <v>150</v>
      </c>
      <c r="L166" s="5" t="s">
        <v>151</v>
      </c>
      <c r="M166" s="5" t="s">
        <v>113</v>
      </c>
      <c r="N166" s="5" t="s">
        <v>36</v>
      </c>
      <c r="O166" s="5" t="s">
        <v>37</v>
      </c>
      <c r="P166" s="15">
        <v>8696000</v>
      </c>
      <c r="Q166" s="13"/>
      <c r="R166" s="13"/>
      <c r="S166" s="13"/>
      <c r="T166" s="13"/>
      <c r="U166" s="13"/>
      <c r="V166" s="13"/>
      <c r="W166" s="13"/>
      <c r="X166" s="13"/>
      <c r="Y166" s="13">
        <v>8696000</v>
      </c>
      <c r="Z166" s="13"/>
      <c r="AA166" s="13"/>
      <c r="AB166" s="13"/>
      <c r="AC166" s="4">
        <f t="shared" si="2"/>
        <v>8696000</v>
      </c>
    </row>
    <row r="167" spans="3:29" ht="38.25" x14ac:dyDescent="0.25">
      <c r="C167" s="5" t="s">
        <v>27</v>
      </c>
      <c r="D167" s="5" t="s">
        <v>28</v>
      </c>
      <c r="E167" s="5" t="s">
        <v>27</v>
      </c>
      <c r="F167" s="5" t="s">
        <v>28</v>
      </c>
      <c r="G167" s="5" t="s">
        <v>29</v>
      </c>
      <c r="H167" s="5" t="s">
        <v>30</v>
      </c>
      <c r="I167" s="5" t="s">
        <v>31</v>
      </c>
      <c r="J167" s="5" t="s">
        <v>32</v>
      </c>
      <c r="K167" s="5" t="s">
        <v>150</v>
      </c>
      <c r="L167" s="5" t="s">
        <v>151</v>
      </c>
      <c r="M167" s="5" t="s">
        <v>113</v>
      </c>
      <c r="N167" s="5" t="s">
        <v>38</v>
      </c>
      <c r="O167" s="5" t="s">
        <v>39</v>
      </c>
      <c r="P167" s="15">
        <v>74080600</v>
      </c>
      <c r="Q167" s="13"/>
      <c r="R167" s="13"/>
      <c r="S167" s="13"/>
      <c r="T167" s="13"/>
      <c r="U167" s="13"/>
      <c r="V167" s="13"/>
      <c r="W167" s="13"/>
      <c r="X167" s="13"/>
      <c r="Y167" s="13">
        <v>74080600</v>
      </c>
      <c r="Z167" s="13"/>
      <c r="AA167" s="13"/>
      <c r="AB167" s="13"/>
      <c r="AC167" s="4">
        <f t="shared" si="2"/>
        <v>74080600</v>
      </c>
    </row>
    <row r="168" spans="3:29" ht="38.25" x14ac:dyDescent="0.25">
      <c r="C168" s="5" t="s">
        <v>27</v>
      </c>
      <c r="D168" s="5" t="s">
        <v>28</v>
      </c>
      <c r="E168" s="5" t="s">
        <v>27</v>
      </c>
      <c r="F168" s="5" t="s">
        <v>28</v>
      </c>
      <c r="G168" s="5" t="s">
        <v>29</v>
      </c>
      <c r="H168" s="5" t="s">
        <v>30</v>
      </c>
      <c r="I168" s="5" t="s">
        <v>31</v>
      </c>
      <c r="J168" s="5" t="s">
        <v>32</v>
      </c>
      <c r="K168" s="5" t="s">
        <v>150</v>
      </c>
      <c r="L168" s="5" t="s">
        <v>151</v>
      </c>
      <c r="M168" s="5" t="s">
        <v>113</v>
      </c>
      <c r="N168" s="5" t="s">
        <v>44</v>
      </c>
      <c r="O168" s="5" t="s">
        <v>45</v>
      </c>
      <c r="P168" s="15">
        <v>1904626000</v>
      </c>
      <c r="Q168" s="13"/>
      <c r="R168" s="13"/>
      <c r="S168" s="13">
        <v>59073000</v>
      </c>
      <c r="T168" s="13">
        <v>183349000</v>
      </c>
      <c r="U168" s="13"/>
      <c r="V168" s="13">
        <v>455424000</v>
      </c>
      <c r="W168" s="13"/>
      <c r="X168" s="13">
        <v>607232000</v>
      </c>
      <c r="Y168" s="13">
        <v>599548000</v>
      </c>
      <c r="Z168" s="13"/>
      <c r="AA168" s="13"/>
      <c r="AB168" s="13"/>
      <c r="AC168" s="4">
        <f t="shared" si="2"/>
        <v>1904626000</v>
      </c>
    </row>
    <row r="169" spans="3:29" ht="51" x14ac:dyDescent="0.25">
      <c r="C169" s="5" t="s">
        <v>27</v>
      </c>
      <c r="D169" s="5" t="s">
        <v>28</v>
      </c>
      <c r="E169" s="5" t="s">
        <v>27</v>
      </c>
      <c r="F169" s="5" t="s">
        <v>28</v>
      </c>
      <c r="G169" s="5" t="s">
        <v>29</v>
      </c>
      <c r="H169" s="5" t="s">
        <v>30</v>
      </c>
      <c r="I169" s="5" t="s">
        <v>31</v>
      </c>
      <c r="J169" s="5" t="s">
        <v>32</v>
      </c>
      <c r="K169" s="5" t="s">
        <v>150</v>
      </c>
      <c r="L169" s="5" t="s">
        <v>151</v>
      </c>
      <c r="M169" s="14" t="s">
        <v>159</v>
      </c>
      <c r="N169" s="14" t="s">
        <v>61</v>
      </c>
      <c r="O169" s="14" t="s">
        <v>62</v>
      </c>
      <c r="P169" s="15">
        <v>7667000</v>
      </c>
      <c r="Q169" s="13"/>
      <c r="R169" s="13"/>
      <c r="S169" s="13"/>
      <c r="T169" s="13"/>
      <c r="U169" s="10">
        <v>7667000</v>
      </c>
      <c r="V169" s="10">
        <v>0</v>
      </c>
      <c r="W169" s="13">
        <v>0</v>
      </c>
      <c r="X169" s="13"/>
      <c r="Y169" s="13"/>
      <c r="Z169" s="13"/>
      <c r="AA169" s="13"/>
      <c r="AB169" s="13"/>
      <c r="AC169" s="4">
        <f t="shared" si="2"/>
        <v>7667000</v>
      </c>
    </row>
    <row r="170" spans="3:29" ht="51" x14ac:dyDescent="0.25">
      <c r="C170" s="5" t="s">
        <v>27</v>
      </c>
      <c r="D170" s="5" t="s">
        <v>28</v>
      </c>
      <c r="E170" s="5" t="s">
        <v>27</v>
      </c>
      <c r="F170" s="5" t="s">
        <v>28</v>
      </c>
      <c r="G170" s="5" t="s">
        <v>29</v>
      </c>
      <c r="H170" s="5" t="s">
        <v>30</v>
      </c>
      <c r="I170" s="5" t="s">
        <v>31</v>
      </c>
      <c r="J170" s="5" t="s">
        <v>32</v>
      </c>
      <c r="K170" s="5" t="s">
        <v>150</v>
      </c>
      <c r="L170" s="5" t="s">
        <v>151</v>
      </c>
      <c r="M170" s="14" t="s">
        <v>159</v>
      </c>
      <c r="N170" s="14" t="s">
        <v>50</v>
      </c>
      <c r="O170" s="14" t="s">
        <v>51</v>
      </c>
      <c r="P170" s="15">
        <v>51988800</v>
      </c>
      <c r="Q170" s="13"/>
      <c r="R170" s="13"/>
      <c r="S170" s="13"/>
      <c r="T170" s="13"/>
      <c r="U170" s="10">
        <v>51988800</v>
      </c>
      <c r="V170" s="10">
        <v>0</v>
      </c>
      <c r="W170" s="13">
        <v>0</v>
      </c>
      <c r="X170" s="13"/>
      <c r="Y170" s="13"/>
      <c r="Z170" s="13"/>
      <c r="AA170" s="13"/>
      <c r="AB170" s="13"/>
      <c r="AC170" s="4">
        <f t="shared" si="2"/>
        <v>51988800</v>
      </c>
    </row>
    <row r="171" spans="3:29" ht="51" x14ac:dyDescent="0.25">
      <c r="C171" s="5" t="s">
        <v>27</v>
      </c>
      <c r="D171" s="5" t="s">
        <v>28</v>
      </c>
      <c r="E171" s="5" t="s">
        <v>27</v>
      </c>
      <c r="F171" s="5" t="s">
        <v>28</v>
      </c>
      <c r="G171" s="5" t="s">
        <v>29</v>
      </c>
      <c r="H171" s="5" t="s">
        <v>30</v>
      </c>
      <c r="I171" s="5" t="s">
        <v>31</v>
      </c>
      <c r="J171" s="5" t="s">
        <v>32</v>
      </c>
      <c r="K171" s="5" t="s">
        <v>150</v>
      </c>
      <c r="L171" s="5" t="s">
        <v>151</v>
      </c>
      <c r="M171" s="14" t="s">
        <v>159</v>
      </c>
      <c r="N171" s="14" t="s">
        <v>65</v>
      </c>
      <c r="O171" s="14" t="s">
        <v>66</v>
      </c>
      <c r="P171" s="15">
        <v>72600000</v>
      </c>
      <c r="Q171" s="13"/>
      <c r="R171" s="13"/>
      <c r="S171" s="13"/>
      <c r="T171" s="13"/>
      <c r="U171" s="10">
        <v>72600000</v>
      </c>
      <c r="V171" s="10">
        <v>0</v>
      </c>
      <c r="W171" s="13">
        <v>0</v>
      </c>
      <c r="X171" s="13"/>
      <c r="Y171" s="13"/>
      <c r="Z171" s="13"/>
      <c r="AA171" s="13"/>
      <c r="AB171" s="13"/>
      <c r="AC171" s="4">
        <f t="shared" si="2"/>
        <v>72600000</v>
      </c>
    </row>
    <row r="172" spans="3:29" ht="51" x14ac:dyDescent="0.25">
      <c r="C172" s="5" t="s">
        <v>27</v>
      </c>
      <c r="D172" s="5" t="s">
        <v>28</v>
      </c>
      <c r="E172" s="5" t="s">
        <v>27</v>
      </c>
      <c r="F172" s="5" t="s">
        <v>28</v>
      </c>
      <c r="G172" s="5" t="s">
        <v>29</v>
      </c>
      <c r="H172" s="5" t="s">
        <v>30</v>
      </c>
      <c r="I172" s="5" t="s">
        <v>31</v>
      </c>
      <c r="J172" s="5" t="s">
        <v>32</v>
      </c>
      <c r="K172" s="5" t="s">
        <v>150</v>
      </c>
      <c r="L172" s="5" t="s">
        <v>151</v>
      </c>
      <c r="M172" s="14" t="s">
        <v>159</v>
      </c>
      <c r="N172" s="14" t="s">
        <v>73</v>
      </c>
      <c r="O172" s="14" t="s">
        <v>74</v>
      </c>
      <c r="P172" s="15">
        <v>36000000</v>
      </c>
      <c r="Q172" s="13"/>
      <c r="R172" s="13"/>
      <c r="S172" s="13"/>
      <c r="T172" s="13"/>
      <c r="U172" s="10">
        <v>36000000</v>
      </c>
      <c r="V172" s="10">
        <v>0</v>
      </c>
      <c r="W172" s="13">
        <v>0</v>
      </c>
      <c r="X172" s="13"/>
      <c r="Y172" s="13"/>
      <c r="Z172" s="13"/>
      <c r="AA172" s="13"/>
      <c r="AB172" s="13"/>
      <c r="AC172" s="4">
        <f t="shared" si="2"/>
        <v>36000000</v>
      </c>
    </row>
    <row r="173" spans="3:29" ht="51" x14ac:dyDescent="0.25">
      <c r="C173" s="5" t="s">
        <v>27</v>
      </c>
      <c r="D173" s="5" t="s">
        <v>28</v>
      </c>
      <c r="E173" s="5" t="s">
        <v>27</v>
      </c>
      <c r="F173" s="5" t="s">
        <v>28</v>
      </c>
      <c r="G173" s="5" t="s">
        <v>29</v>
      </c>
      <c r="H173" s="5" t="s">
        <v>30</v>
      </c>
      <c r="I173" s="5" t="s">
        <v>31</v>
      </c>
      <c r="J173" s="5" t="s">
        <v>32</v>
      </c>
      <c r="K173" s="5" t="s">
        <v>150</v>
      </c>
      <c r="L173" s="5" t="s">
        <v>151</v>
      </c>
      <c r="M173" s="14" t="s">
        <v>159</v>
      </c>
      <c r="N173" s="14" t="s">
        <v>79</v>
      </c>
      <c r="O173" s="14" t="s">
        <v>80</v>
      </c>
      <c r="P173" s="15">
        <v>41040000</v>
      </c>
      <c r="Q173" s="13"/>
      <c r="R173" s="13"/>
      <c r="S173" s="13"/>
      <c r="T173" s="13"/>
      <c r="U173" s="10">
        <v>41040000</v>
      </c>
      <c r="V173" s="10">
        <v>0</v>
      </c>
      <c r="W173" s="13">
        <v>0</v>
      </c>
      <c r="X173" s="13"/>
      <c r="Y173" s="13"/>
      <c r="Z173" s="13"/>
      <c r="AA173" s="13"/>
      <c r="AB173" s="13"/>
      <c r="AC173" s="4">
        <f t="shared" si="2"/>
        <v>41040000</v>
      </c>
    </row>
    <row r="174" spans="3:29" ht="51" x14ac:dyDescent="0.25">
      <c r="C174" s="5" t="s">
        <v>27</v>
      </c>
      <c r="D174" s="5" t="s">
        <v>28</v>
      </c>
      <c r="E174" s="5" t="s">
        <v>27</v>
      </c>
      <c r="F174" s="5" t="s">
        <v>28</v>
      </c>
      <c r="G174" s="5" t="s">
        <v>29</v>
      </c>
      <c r="H174" s="5" t="s">
        <v>30</v>
      </c>
      <c r="I174" s="5" t="s">
        <v>31</v>
      </c>
      <c r="J174" s="5" t="s">
        <v>32</v>
      </c>
      <c r="K174" s="5" t="s">
        <v>150</v>
      </c>
      <c r="L174" s="5" t="s">
        <v>151</v>
      </c>
      <c r="M174" s="14" t="s">
        <v>159</v>
      </c>
      <c r="N174" s="14" t="s">
        <v>139</v>
      </c>
      <c r="O174" s="14" t="s">
        <v>140</v>
      </c>
      <c r="P174" s="15">
        <v>108000000</v>
      </c>
      <c r="Q174" s="13"/>
      <c r="R174" s="13"/>
      <c r="S174" s="13"/>
      <c r="T174" s="13"/>
      <c r="U174" s="10">
        <v>108000000</v>
      </c>
      <c r="V174" s="10">
        <v>0</v>
      </c>
      <c r="W174" s="13">
        <v>0</v>
      </c>
      <c r="X174" s="13"/>
      <c r="Y174" s="13"/>
      <c r="Z174" s="13"/>
      <c r="AA174" s="13"/>
      <c r="AB174" s="13"/>
      <c r="AC174" s="4">
        <f t="shared" si="2"/>
        <v>108000000</v>
      </c>
    </row>
    <row r="175" spans="3:29" ht="38.25" x14ac:dyDescent="0.25">
      <c r="C175" s="5" t="s">
        <v>27</v>
      </c>
      <c r="D175" s="5" t="s">
        <v>28</v>
      </c>
      <c r="E175" s="5" t="s">
        <v>27</v>
      </c>
      <c r="F175" s="5" t="s">
        <v>28</v>
      </c>
      <c r="G175" s="5" t="s">
        <v>29</v>
      </c>
      <c r="H175" s="5" t="s">
        <v>30</v>
      </c>
      <c r="I175" s="5" t="s">
        <v>31</v>
      </c>
      <c r="J175" s="5" t="s">
        <v>32</v>
      </c>
      <c r="K175" s="5" t="s">
        <v>150</v>
      </c>
      <c r="L175" s="5" t="s">
        <v>151</v>
      </c>
      <c r="M175" s="5" t="s">
        <v>35</v>
      </c>
      <c r="N175" s="5" t="s">
        <v>36</v>
      </c>
      <c r="O175" s="5" t="s">
        <v>37</v>
      </c>
      <c r="P175" s="15">
        <v>2174000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>
        <v>2174000</v>
      </c>
      <c r="AB175" s="13"/>
      <c r="AC175" s="4">
        <f t="shared" si="2"/>
        <v>2174000</v>
      </c>
    </row>
    <row r="176" spans="3:29" ht="38.25" x14ac:dyDescent="0.25">
      <c r="C176" s="5" t="s">
        <v>27</v>
      </c>
      <c r="D176" s="5" t="s">
        <v>28</v>
      </c>
      <c r="E176" s="5" t="s">
        <v>27</v>
      </c>
      <c r="F176" s="5" t="s">
        <v>28</v>
      </c>
      <c r="G176" s="5" t="s">
        <v>29</v>
      </c>
      <c r="H176" s="5" t="s">
        <v>30</v>
      </c>
      <c r="I176" s="5" t="s">
        <v>31</v>
      </c>
      <c r="J176" s="5" t="s">
        <v>32</v>
      </c>
      <c r="K176" s="5" t="s">
        <v>150</v>
      </c>
      <c r="L176" s="5" t="s">
        <v>151</v>
      </c>
      <c r="M176" s="5" t="s">
        <v>35</v>
      </c>
      <c r="N176" s="5" t="s">
        <v>38</v>
      </c>
      <c r="O176" s="5" t="s">
        <v>39</v>
      </c>
      <c r="P176" s="15">
        <v>21617400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>
        <v>21617400</v>
      </c>
      <c r="AB176" s="13"/>
      <c r="AC176" s="4">
        <f t="shared" si="2"/>
        <v>21617400</v>
      </c>
    </row>
    <row r="177" spans="3:29" ht="38.25" x14ac:dyDescent="0.25">
      <c r="C177" s="5" t="s">
        <v>27</v>
      </c>
      <c r="D177" s="5" t="s">
        <v>28</v>
      </c>
      <c r="E177" s="5" t="s">
        <v>27</v>
      </c>
      <c r="F177" s="5" t="s">
        <v>28</v>
      </c>
      <c r="G177" s="5" t="s">
        <v>29</v>
      </c>
      <c r="H177" s="5" t="s">
        <v>30</v>
      </c>
      <c r="I177" s="5" t="s">
        <v>31</v>
      </c>
      <c r="J177" s="5" t="s">
        <v>32</v>
      </c>
      <c r="K177" s="5" t="s">
        <v>150</v>
      </c>
      <c r="L177" s="5" t="s">
        <v>151</v>
      </c>
      <c r="M177" s="5" t="s">
        <v>35</v>
      </c>
      <c r="N177" s="5" t="s">
        <v>44</v>
      </c>
      <c r="O177" s="5" t="s">
        <v>45</v>
      </c>
      <c r="P177" s="15">
        <v>1425264000</v>
      </c>
      <c r="Q177" s="13"/>
      <c r="R177" s="13"/>
      <c r="S177" s="13"/>
      <c r="T177" s="13">
        <v>142824000</v>
      </c>
      <c r="U177" s="13"/>
      <c r="V177" s="13"/>
      <c r="W177" s="13"/>
      <c r="X177" s="13">
        <v>357540000</v>
      </c>
      <c r="Y177" s="13"/>
      <c r="Z177" s="13">
        <v>476720000</v>
      </c>
      <c r="AA177" s="13">
        <v>448180000</v>
      </c>
      <c r="AB177" s="13"/>
      <c r="AC177" s="4">
        <f t="shared" si="2"/>
        <v>1425264000</v>
      </c>
    </row>
    <row r="178" spans="3:29" ht="51" x14ac:dyDescent="0.25">
      <c r="C178" s="5" t="s">
        <v>27</v>
      </c>
      <c r="D178" s="5" t="s">
        <v>28</v>
      </c>
      <c r="E178" s="5" t="s">
        <v>27</v>
      </c>
      <c r="F178" s="5" t="s">
        <v>28</v>
      </c>
      <c r="G178" s="5" t="s">
        <v>29</v>
      </c>
      <c r="H178" s="5" t="s">
        <v>30</v>
      </c>
      <c r="I178" s="5" t="s">
        <v>31</v>
      </c>
      <c r="J178" s="5" t="s">
        <v>32</v>
      </c>
      <c r="K178" s="5" t="s">
        <v>150</v>
      </c>
      <c r="L178" s="5" t="s">
        <v>151</v>
      </c>
      <c r="M178" s="5" t="s">
        <v>160</v>
      </c>
      <c r="N178" s="5" t="s">
        <v>50</v>
      </c>
      <c r="O178" s="5" t="s">
        <v>51</v>
      </c>
      <c r="P178" s="15">
        <v>744907102</v>
      </c>
      <c r="Q178" s="13"/>
      <c r="R178" s="13"/>
      <c r="S178" s="13"/>
      <c r="T178" s="13"/>
      <c r="U178" s="13"/>
      <c r="V178" s="13"/>
      <c r="W178" s="13">
        <v>744907102</v>
      </c>
      <c r="X178" s="13"/>
      <c r="Y178" s="13"/>
      <c r="Z178" s="13"/>
      <c r="AA178" s="13"/>
      <c r="AB178" s="13"/>
      <c r="AC178" s="4">
        <f t="shared" si="2"/>
        <v>744907102</v>
      </c>
    </row>
    <row r="179" spans="3:29" ht="51" x14ac:dyDescent="0.25">
      <c r="C179" s="5" t="s">
        <v>27</v>
      </c>
      <c r="D179" s="5" t="s">
        <v>28</v>
      </c>
      <c r="E179" s="5" t="s">
        <v>27</v>
      </c>
      <c r="F179" s="5" t="s">
        <v>28</v>
      </c>
      <c r="G179" s="5" t="s">
        <v>29</v>
      </c>
      <c r="H179" s="5" t="s">
        <v>30</v>
      </c>
      <c r="I179" s="5" t="s">
        <v>31</v>
      </c>
      <c r="J179" s="5" t="s">
        <v>32</v>
      </c>
      <c r="K179" s="5" t="s">
        <v>150</v>
      </c>
      <c r="L179" s="5" t="s">
        <v>151</v>
      </c>
      <c r="M179" s="5" t="s">
        <v>161</v>
      </c>
      <c r="N179" s="5" t="s">
        <v>61</v>
      </c>
      <c r="O179" s="5" t="s">
        <v>62</v>
      </c>
      <c r="P179" s="15">
        <v>60632000</v>
      </c>
      <c r="Q179" s="13"/>
      <c r="R179" s="13"/>
      <c r="S179" s="13">
        <v>46200000</v>
      </c>
      <c r="T179" s="13"/>
      <c r="U179" s="13">
        <v>14432000</v>
      </c>
      <c r="V179" s="13"/>
      <c r="W179" s="13"/>
      <c r="X179" s="13"/>
      <c r="Y179" s="13"/>
      <c r="Z179" s="13"/>
      <c r="AA179" s="13"/>
      <c r="AB179" s="13"/>
      <c r="AC179" s="4">
        <f t="shared" si="2"/>
        <v>60632000</v>
      </c>
    </row>
    <row r="180" spans="3:29" ht="51" x14ac:dyDescent="0.25">
      <c r="C180" s="5" t="s">
        <v>27</v>
      </c>
      <c r="D180" s="5" t="s">
        <v>28</v>
      </c>
      <c r="E180" s="5" t="s">
        <v>27</v>
      </c>
      <c r="F180" s="5" t="s">
        <v>28</v>
      </c>
      <c r="G180" s="5" t="s">
        <v>29</v>
      </c>
      <c r="H180" s="5" t="s">
        <v>30</v>
      </c>
      <c r="I180" s="5" t="s">
        <v>31</v>
      </c>
      <c r="J180" s="5" t="s">
        <v>32</v>
      </c>
      <c r="K180" s="5" t="s">
        <v>150</v>
      </c>
      <c r="L180" s="5" t="s">
        <v>151</v>
      </c>
      <c r="M180" s="5" t="s">
        <v>161</v>
      </c>
      <c r="N180" s="5" t="s">
        <v>99</v>
      </c>
      <c r="O180" s="5" t="s">
        <v>100</v>
      </c>
      <c r="P180" s="15">
        <v>254636900</v>
      </c>
      <c r="Q180" s="13"/>
      <c r="R180" s="13"/>
      <c r="S180" s="13">
        <v>0</v>
      </c>
      <c r="T180" s="13">
        <v>254636900</v>
      </c>
      <c r="U180" s="13"/>
      <c r="V180" s="13"/>
      <c r="W180" s="13"/>
      <c r="X180" s="13"/>
      <c r="Y180" s="13"/>
      <c r="Z180" s="13"/>
      <c r="AA180" s="13"/>
      <c r="AB180" s="13"/>
      <c r="AC180" s="4">
        <f t="shared" si="2"/>
        <v>254636900</v>
      </c>
    </row>
    <row r="181" spans="3:29" ht="63.75" x14ac:dyDescent="0.25">
      <c r="C181" s="5" t="s">
        <v>27</v>
      </c>
      <c r="D181" s="5" t="s">
        <v>28</v>
      </c>
      <c r="E181" s="5" t="s">
        <v>27</v>
      </c>
      <c r="F181" s="5" t="s">
        <v>28</v>
      </c>
      <c r="G181" s="5" t="s">
        <v>29</v>
      </c>
      <c r="H181" s="5" t="s">
        <v>30</v>
      </c>
      <c r="I181" s="5" t="s">
        <v>31</v>
      </c>
      <c r="J181" s="5" t="s">
        <v>32</v>
      </c>
      <c r="K181" s="5" t="s">
        <v>150</v>
      </c>
      <c r="L181" s="5" t="s">
        <v>151</v>
      </c>
      <c r="M181" s="5" t="s">
        <v>161</v>
      </c>
      <c r="N181" s="5" t="s">
        <v>162</v>
      </c>
      <c r="O181" s="5" t="s">
        <v>163</v>
      </c>
      <c r="P181" s="15">
        <v>99450000</v>
      </c>
      <c r="Q181" s="13"/>
      <c r="R181" s="13"/>
      <c r="S181" s="13">
        <v>99450000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4">
        <f t="shared" si="2"/>
        <v>99450000</v>
      </c>
    </row>
    <row r="182" spans="3:29" ht="38.25" x14ac:dyDescent="0.25">
      <c r="C182" s="5" t="s">
        <v>27</v>
      </c>
      <c r="D182" s="5" t="s">
        <v>28</v>
      </c>
      <c r="E182" s="5" t="s">
        <v>27</v>
      </c>
      <c r="F182" s="5" t="s">
        <v>28</v>
      </c>
      <c r="G182" s="5" t="s">
        <v>29</v>
      </c>
      <c r="H182" s="5" t="s">
        <v>30</v>
      </c>
      <c r="I182" s="5" t="s">
        <v>31</v>
      </c>
      <c r="J182" s="5" t="s">
        <v>32</v>
      </c>
      <c r="K182" s="5" t="s">
        <v>150</v>
      </c>
      <c r="L182" s="5" t="s">
        <v>151</v>
      </c>
      <c r="M182" s="5" t="s">
        <v>161</v>
      </c>
      <c r="N182" s="5" t="s">
        <v>65</v>
      </c>
      <c r="O182" s="5" t="s">
        <v>66</v>
      </c>
      <c r="P182" s="15">
        <v>136500000</v>
      </c>
      <c r="Q182" s="13"/>
      <c r="R182" s="13"/>
      <c r="S182" s="13"/>
      <c r="T182" s="13"/>
      <c r="U182" s="13"/>
      <c r="V182" s="13"/>
      <c r="W182" s="13">
        <v>136500000</v>
      </c>
      <c r="X182" s="13"/>
      <c r="Y182" s="13"/>
      <c r="Z182" s="13"/>
      <c r="AA182" s="13"/>
      <c r="AB182" s="13"/>
      <c r="AC182" s="4">
        <f t="shared" si="2"/>
        <v>136500000</v>
      </c>
    </row>
    <row r="183" spans="3:29" ht="38.25" x14ac:dyDescent="0.25">
      <c r="C183" s="5" t="s">
        <v>27</v>
      </c>
      <c r="D183" s="5" t="s">
        <v>28</v>
      </c>
      <c r="E183" s="5" t="s">
        <v>27</v>
      </c>
      <c r="F183" s="5" t="s">
        <v>28</v>
      </c>
      <c r="G183" s="5" t="s">
        <v>29</v>
      </c>
      <c r="H183" s="5" t="s">
        <v>30</v>
      </c>
      <c r="I183" s="5" t="s">
        <v>31</v>
      </c>
      <c r="J183" s="5" t="s">
        <v>32</v>
      </c>
      <c r="K183" s="5" t="s">
        <v>150</v>
      </c>
      <c r="L183" s="5" t="s">
        <v>151</v>
      </c>
      <c r="M183" s="5" t="s">
        <v>161</v>
      </c>
      <c r="N183" s="5" t="s">
        <v>148</v>
      </c>
      <c r="O183" s="5" t="s">
        <v>149</v>
      </c>
      <c r="P183" s="15">
        <v>10900000</v>
      </c>
      <c r="Q183" s="13"/>
      <c r="R183" s="13"/>
      <c r="S183" s="13"/>
      <c r="T183" s="13"/>
      <c r="U183" s="13"/>
      <c r="V183" s="13"/>
      <c r="W183" s="13">
        <v>10900000</v>
      </c>
      <c r="X183" s="13"/>
      <c r="Y183" s="13"/>
      <c r="Z183" s="13"/>
      <c r="AA183" s="13"/>
      <c r="AB183" s="13"/>
      <c r="AC183" s="4">
        <f t="shared" si="2"/>
        <v>10900000</v>
      </c>
    </row>
    <row r="184" spans="3:29" ht="38.25" x14ac:dyDescent="0.25">
      <c r="C184" s="5" t="s">
        <v>27</v>
      </c>
      <c r="D184" s="5" t="s">
        <v>28</v>
      </c>
      <c r="E184" s="5" t="s">
        <v>27</v>
      </c>
      <c r="F184" s="5" t="s">
        <v>28</v>
      </c>
      <c r="G184" s="5" t="s">
        <v>29</v>
      </c>
      <c r="H184" s="5" t="s">
        <v>30</v>
      </c>
      <c r="I184" s="5" t="s">
        <v>31</v>
      </c>
      <c r="J184" s="5" t="s">
        <v>32</v>
      </c>
      <c r="K184" s="5" t="s">
        <v>150</v>
      </c>
      <c r="L184" s="5" t="s">
        <v>151</v>
      </c>
      <c r="M184" s="5" t="s">
        <v>46</v>
      </c>
      <c r="N184" s="5" t="s">
        <v>44</v>
      </c>
      <c r="O184" s="5" t="s">
        <v>45</v>
      </c>
      <c r="P184" s="15">
        <v>155745899</v>
      </c>
      <c r="Q184" s="13"/>
      <c r="R184" s="13"/>
      <c r="S184" s="13">
        <v>21731999</v>
      </c>
      <c r="T184" s="13"/>
      <c r="U184" s="13"/>
      <c r="V184" s="13"/>
      <c r="W184" s="13">
        <v>134013900</v>
      </c>
      <c r="X184" s="13"/>
      <c r="Y184" s="13"/>
      <c r="Z184" s="13"/>
      <c r="AA184" s="13"/>
      <c r="AB184" s="13"/>
      <c r="AC184" s="4">
        <f t="shared" si="2"/>
        <v>155745899</v>
      </c>
    </row>
    <row r="185" spans="3:29" ht="38.25" x14ac:dyDescent="0.25">
      <c r="C185" s="5" t="s">
        <v>27</v>
      </c>
      <c r="D185" s="5" t="s">
        <v>28</v>
      </c>
      <c r="E185" s="5" t="s">
        <v>27</v>
      </c>
      <c r="F185" s="5" t="s">
        <v>28</v>
      </c>
      <c r="G185" s="5" t="s">
        <v>29</v>
      </c>
      <c r="H185" s="5" t="s">
        <v>30</v>
      </c>
      <c r="I185" s="5" t="s">
        <v>31</v>
      </c>
      <c r="J185" s="5" t="s">
        <v>32</v>
      </c>
      <c r="K185" s="5" t="s">
        <v>150</v>
      </c>
      <c r="L185" s="5" t="s">
        <v>151</v>
      </c>
      <c r="M185" s="14" t="s">
        <v>115</v>
      </c>
      <c r="N185" s="14" t="s">
        <v>44</v>
      </c>
      <c r="O185" s="14" t="s">
        <v>45</v>
      </c>
      <c r="P185" s="15">
        <v>1586834295</v>
      </c>
      <c r="Q185" s="13"/>
      <c r="R185" s="13"/>
      <c r="S185" s="13">
        <v>220941995</v>
      </c>
      <c r="T185" s="13"/>
      <c r="U185" s="13"/>
      <c r="V185" s="10"/>
      <c r="W185" s="10">
        <v>776396900</v>
      </c>
      <c r="X185" s="10">
        <v>589495400</v>
      </c>
      <c r="Y185" s="13"/>
      <c r="Z185" s="13"/>
      <c r="AA185" s="13"/>
      <c r="AB185" s="13"/>
      <c r="AC185" s="4">
        <f t="shared" si="2"/>
        <v>1586834295</v>
      </c>
    </row>
    <row r="186" spans="3:29" ht="63.75" x14ac:dyDescent="0.25">
      <c r="C186" s="5" t="s">
        <v>27</v>
      </c>
      <c r="D186" s="5" t="s">
        <v>28</v>
      </c>
      <c r="E186" s="5" t="s">
        <v>27</v>
      </c>
      <c r="F186" s="5" t="s">
        <v>28</v>
      </c>
      <c r="G186" s="5" t="s">
        <v>29</v>
      </c>
      <c r="H186" s="5" t="s">
        <v>30</v>
      </c>
      <c r="I186" s="5" t="s">
        <v>31</v>
      </c>
      <c r="J186" s="5" t="s">
        <v>32</v>
      </c>
      <c r="K186" s="5" t="s">
        <v>164</v>
      </c>
      <c r="L186" s="5" t="s">
        <v>165</v>
      </c>
      <c r="M186" s="5" t="s">
        <v>166</v>
      </c>
      <c r="N186" s="5" t="s">
        <v>61</v>
      </c>
      <c r="O186" s="5" t="s">
        <v>62</v>
      </c>
      <c r="P186" s="15">
        <v>16260000</v>
      </c>
      <c r="Q186" s="13"/>
      <c r="R186" s="13"/>
      <c r="S186" s="13"/>
      <c r="T186" s="13"/>
      <c r="U186" s="13"/>
      <c r="V186" s="13">
        <v>16260000</v>
      </c>
      <c r="W186" s="13"/>
      <c r="X186" s="13"/>
      <c r="Y186" s="13"/>
      <c r="Z186" s="13"/>
      <c r="AA186" s="13"/>
      <c r="AB186" s="13"/>
      <c r="AC186" s="4">
        <f t="shared" si="2"/>
        <v>16260000</v>
      </c>
    </row>
    <row r="187" spans="3:29" ht="63.75" x14ac:dyDescent="0.25">
      <c r="C187" s="5" t="s">
        <v>27</v>
      </c>
      <c r="D187" s="5" t="s">
        <v>28</v>
      </c>
      <c r="E187" s="5" t="s">
        <v>27</v>
      </c>
      <c r="F187" s="5" t="s">
        <v>28</v>
      </c>
      <c r="G187" s="5" t="s">
        <v>29</v>
      </c>
      <c r="H187" s="5" t="s">
        <v>30</v>
      </c>
      <c r="I187" s="5" t="s">
        <v>31</v>
      </c>
      <c r="J187" s="5" t="s">
        <v>32</v>
      </c>
      <c r="K187" s="5" t="s">
        <v>164</v>
      </c>
      <c r="L187" s="5" t="s">
        <v>165</v>
      </c>
      <c r="M187" s="5" t="s">
        <v>166</v>
      </c>
      <c r="N187" s="5" t="s">
        <v>167</v>
      </c>
      <c r="O187" s="5" t="s">
        <v>168</v>
      </c>
      <c r="P187" s="15">
        <v>61760900</v>
      </c>
      <c r="Q187" s="13"/>
      <c r="R187" s="13"/>
      <c r="S187" s="13"/>
      <c r="T187" s="13"/>
      <c r="U187" s="13"/>
      <c r="V187" s="13">
        <v>61760900</v>
      </c>
      <c r="W187" s="13"/>
      <c r="X187" s="13"/>
      <c r="Y187" s="13"/>
      <c r="Z187" s="13"/>
      <c r="AA187" s="13"/>
      <c r="AB187" s="13"/>
      <c r="AC187" s="4">
        <f t="shared" si="2"/>
        <v>61760900</v>
      </c>
    </row>
    <row r="188" spans="3:29" ht="51" x14ac:dyDescent="0.25">
      <c r="C188" s="5" t="s">
        <v>27</v>
      </c>
      <c r="D188" s="5" t="s">
        <v>28</v>
      </c>
      <c r="E188" s="5" t="s">
        <v>27</v>
      </c>
      <c r="F188" s="5" t="s">
        <v>28</v>
      </c>
      <c r="G188" s="5" t="s">
        <v>29</v>
      </c>
      <c r="H188" s="5" t="s">
        <v>30</v>
      </c>
      <c r="I188" s="5" t="s">
        <v>31</v>
      </c>
      <c r="J188" s="5" t="s">
        <v>32</v>
      </c>
      <c r="K188" s="5" t="s">
        <v>164</v>
      </c>
      <c r="L188" s="5" t="s">
        <v>165</v>
      </c>
      <c r="M188" s="5" t="s">
        <v>115</v>
      </c>
      <c r="N188" s="5" t="s">
        <v>44</v>
      </c>
      <c r="O188" s="5" t="s">
        <v>45</v>
      </c>
      <c r="P188" s="15">
        <v>286459300</v>
      </c>
      <c r="Q188" s="13"/>
      <c r="R188" s="13"/>
      <c r="S188" s="13">
        <v>0</v>
      </c>
      <c r="T188" s="13">
        <v>39842000</v>
      </c>
      <c r="U188" s="13">
        <v>0</v>
      </c>
      <c r="V188" s="13"/>
      <c r="W188" s="13">
        <v>156001600</v>
      </c>
      <c r="X188" s="13"/>
      <c r="Y188" s="13">
        <v>90615700</v>
      </c>
      <c r="Z188" s="13"/>
      <c r="AA188" s="13"/>
      <c r="AB188" s="13"/>
      <c r="AC188" s="4">
        <f t="shared" ref="AC188:AC246" si="3">Q188+R188+S188+T188+U188+V188+W188+X188+Y188+Z188+AA188+AB188</f>
        <v>286459300</v>
      </c>
    </row>
    <row r="189" spans="3:29" ht="63.75" x14ac:dyDescent="0.25">
      <c r="C189" s="5" t="s">
        <v>27</v>
      </c>
      <c r="D189" s="5" t="s">
        <v>28</v>
      </c>
      <c r="E189" s="5" t="s">
        <v>27</v>
      </c>
      <c r="F189" s="5" t="s">
        <v>28</v>
      </c>
      <c r="G189" s="5" t="s">
        <v>29</v>
      </c>
      <c r="H189" s="5" t="s">
        <v>30</v>
      </c>
      <c r="I189" s="5" t="s">
        <v>169</v>
      </c>
      <c r="J189" s="5" t="s">
        <v>170</v>
      </c>
      <c r="K189" s="5" t="s">
        <v>171</v>
      </c>
      <c r="L189" s="5" t="s">
        <v>172</v>
      </c>
      <c r="M189" s="5" t="s">
        <v>173</v>
      </c>
      <c r="N189" s="5" t="s">
        <v>61</v>
      </c>
      <c r="O189" s="5" t="s">
        <v>62</v>
      </c>
      <c r="P189" s="15">
        <v>26970100</v>
      </c>
      <c r="Q189" s="13"/>
      <c r="R189" s="13">
        <v>26970100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4">
        <f t="shared" si="3"/>
        <v>26970100</v>
      </c>
    </row>
    <row r="190" spans="3:29" ht="63.75" x14ac:dyDescent="0.25">
      <c r="C190" s="5" t="s">
        <v>27</v>
      </c>
      <c r="D190" s="5" t="s">
        <v>28</v>
      </c>
      <c r="E190" s="5" t="s">
        <v>27</v>
      </c>
      <c r="F190" s="5" t="s">
        <v>28</v>
      </c>
      <c r="G190" s="5" t="s">
        <v>29</v>
      </c>
      <c r="H190" s="5" t="s">
        <v>30</v>
      </c>
      <c r="I190" s="5" t="s">
        <v>169</v>
      </c>
      <c r="J190" s="5" t="s">
        <v>170</v>
      </c>
      <c r="K190" s="5" t="s">
        <v>171</v>
      </c>
      <c r="L190" s="5" t="s">
        <v>172</v>
      </c>
      <c r="M190" s="5" t="s">
        <v>173</v>
      </c>
      <c r="N190" s="5" t="s">
        <v>174</v>
      </c>
      <c r="O190" s="5" t="s">
        <v>175</v>
      </c>
      <c r="P190" s="15">
        <v>531800</v>
      </c>
      <c r="Q190" s="13"/>
      <c r="R190" s="13">
        <v>531800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4">
        <f t="shared" si="3"/>
        <v>531800</v>
      </c>
    </row>
    <row r="191" spans="3:29" ht="63.75" x14ac:dyDescent="0.25">
      <c r="C191" s="5" t="s">
        <v>27</v>
      </c>
      <c r="D191" s="5" t="s">
        <v>28</v>
      </c>
      <c r="E191" s="5" t="s">
        <v>27</v>
      </c>
      <c r="F191" s="5" t="s">
        <v>28</v>
      </c>
      <c r="G191" s="5" t="s">
        <v>29</v>
      </c>
      <c r="H191" s="5" t="s">
        <v>30</v>
      </c>
      <c r="I191" s="5" t="s">
        <v>169</v>
      </c>
      <c r="J191" s="5" t="s">
        <v>170</v>
      </c>
      <c r="K191" s="5" t="s">
        <v>171</v>
      </c>
      <c r="L191" s="5" t="s">
        <v>172</v>
      </c>
      <c r="M191" s="5" t="s">
        <v>173</v>
      </c>
      <c r="N191" s="5" t="s">
        <v>101</v>
      </c>
      <c r="O191" s="5" t="s">
        <v>102</v>
      </c>
      <c r="P191" s="15">
        <v>81900000</v>
      </c>
      <c r="Q191" s="13"/>
      <c r="R191" s="13"/>
      <c r="S191" s="13"/>
      <c r="T191" s="13"/>
      <c r="U191" s="13">
        <v>81900000</v>
      </c>
      <c r="V191" s="13"/>
      <c r="W191" s="13"/>
      <c r="X191" s="13"/>
      <c r="Y191" s="13"/>
      <c r="Z191" s="13"/>
      <c r="AA191" s="13"/>
      <c r="AB191" s="13"/>
      <c r="AC191" s="4">
        <f t="shared" si="3"/>
        <v>81900000</v>
      </c>
    </row>
    <row r="192" spans="3:29" ht="76.5" x14ac:dyDescent="0.25">
      <c r="C192" s="5" t="s">
        <v>27</v>
      </c>
      <c r="D192" s="5" t="s">
        <v>28</v>
      </c>
      <c r="E192" s="5" t="s">
        <v>27</v>
      </c>
      <c r="F192" s="5" t="s">
        <v>28</v>
      </c>
      <c r="G192" s="5" t="s">
        <v>29</v>
      </c>
      <c r="H192" s="5" t="s">
        <v>30</v>
      </c>
      <c r="I192" s="5" t="s">
        <v>169</v>
      </c>
      <c r="J192" s="5" t="s">
        <v>170</v>
      </c>
      <c r="K192" s="5" t="s">
        <v>171</v>
      </c>
      <c r="L192" s="5" t="s">
        <v>172</v>
      </c>
      <c r="M192" s="5" t="s">
        <v>173</v>
      </c>
      <c r="N192" s="5" t="s">
        <v>69</v>
      </c>
      <c r="O192" s="5" t="s">
        <v>70</v>
      </c>
      <c r="P192" s="15">
        <v>19200000</v>
      </c>
      <c r="Q192" s="13"/>
      <c r="R192" s="13"/>
      <c r="S192" s="13"/>
      <c r="T192" s="13"/>
      <c r="U192" s="13">
        <v>19200000</v>
      </c>
      <c r="V192" s="13"/>
      <c r="W192" s="13"/>
      <c r="X192" s="13"/>
      <c r="Y192" s="13"/>
      <c r="Z192" s="13"/>
      <c r="AA192" s="13"/>
      <c r="AB192" s="13"/>
      <c r="AC192" s="4">
        <f t="shared" si="3"/>
        <v>19200000</v>
      </c>
    </row>
    <row r="193" spans="3:29" ht="63.75" x14ac:dyDescent="0.25">
      <c r="C193" s="5" t="s">
        <v>27</v>
      </c>
      <c r="D193" s="5" t="s">
        <v>28</v>
      </c>
      <c r="E193" s="5" t="s">
        <v>27</v>
      </c>
      <c r="F193" s="5" t="s">
        <v>28</v>
      </c>
      <c r="G193" s="5" t="s">
        <v>29</v>
      </c>
      <c r="H193" s="5" t="s">
        <v>30</v>
      </c>
      <c r="I193" s="5" t="s">
        <v>169</v>
      </c>
      <c r="J193" s="5" t="s">
        <v>170</v>
      </c>
      <c r="K193" s="5" t="s">
        <v>171</v>
      </c>
      <c r="L193" s="5" t="s">
        <v>172</v>
      </c>
      <c r="M193" s="5" t="s">
        <v>173</v>
      </c>
      <c r="N193" s="5" t="s">
        <v>79</v>
      </c>
      <c r="O193" s="5" t="s">
        <v>80</v>
      </c>
      <c r="P193" s="15">
        <v>48000000</v>
      </c>
      <c r="Q193" s="13"/>
      <c r="R193" s="13"/>
      <c r="S193" s="13"/>
      <c r="T193" s="13"/>
      <c r="U193" s="13">
        <v>48000000</v>
      </c>
      <c r="V193" s="13"/>
      <c r="W193" s="13"/>
      <c r="X193" s="13"/>
      <c r="Y193" s="13"/>
      <c r="Z193" s="13"/>
      <c r="AA193" s="13"/>
      <c r="AB193" s="13"/>
      <c r="AC193" s="4">
        <f t="shared" si="3"/>
        <v>48000000</v>
      </c>
    </row>
    <row r="194" spans="3:29" ht="63.75" x14ac:dyDescent="0.25">
      <c r="C194" s="5" t="s">
        <v>27</v>
      </c>
      <c r="D194" s="5" t="s">
        <v>28</v>
      </c>
      <c r="E194" s="5" t="s">
        <v>27</v>
      </c>
      <c r="F194" s="5" t="s">
        <v>28</v>
      </c>
      <c r="G194" s="5" t="s">
        <v>29</v>
      </c>
      <c r="H194" s="5" t="s">
        <v>30</v>
      </c>
      <c r="I194" s="5" t="s">
        <v>169</v>
      </c>
      <c r="J194" s="5" t="s">
        <v>170</v>
      </c>
      <c r="K194" s="5" t="s">
        <v>171</v>
      </c>
      <c r="L194" s="5" t="s">
        <v>172</v>
      </c>
      <c r="M194" s="5" t="s">
        <v>173</v>
      </c>
      <c r="N194" s="5" t="s">
        <v>107</v>
      </c>
      <c r="O194" s="5" t="s">
        <v>108</v>
      </c>
      <c r="P194" s="15">
        <v>11020000</v>
      </c>
      <c r="Q194" s="13"/>
      <c r="R194" s="13"/>
      <c r="S194" s="13"/>
      <c r="T194" s="13"/>
      <c r="U194" s="13">
        <v>11020000</v>
      </c>
      <c r="V194" s="13"/>
      <c r="W194" s="13"/>
      <c r="X194" s="13"/>
      <c r="Y194" s="13"/>
      <c r="Z194" s="13"/>
      <c r="AA194" s="13"/>
      <c r="AB194" s="13"/>
      <c r="AC194" s="4">
        <f t="shared" si="3"/>
        <v>11020000</v>
      </c>
    </row>
    <row r="195" spans="3:29" ht="114.75" x14ac:dyDescent="0.25">
      <c r="C195" s="5" t="s">
        <v>27</v>
      </c>
      <c r="D195" s="5" t="s">
        <v>28</v>
      </c>
      <c r="E195" s="5" t="s">
        <v>27</v>
      </c>
      <c r="F195" s="5" t="s">
        <v>28</v>
      </c>
      <c r="G195" s="5" t="s">
        <v>29</v>
      </c>
      <c r="H195" s="5" t="s">
        <v>30</v>
      </c>
      <c r="I195" s="5" t="s">
        <v>169</v>
      </c>
      <c r="J195" s="5" t="s">
        <v>170</v>
      </c>
      <c r="K195" s="5" t="s">
        <v>176</v>
      </c>
      <c r="L195" s="5" t="s">
        <v>177</v>
      </c>
      <c r="M195" s="5" t="s">
        <v>178</v>
      </c>
      <c r="N195" s="5" t="s">
        <v>61</v>
      </c>
      <c r="O195" s="5" t="s">
        <v>62</v>
      </c>
      <c r="P195" s="15">
        <v>5507200</v>
      </c>
      <c r="Q195" s="13"/>
      <c r="R195" s="13"/>
      <c r="S195" s="13"/>
      <c r="T195" s="13"/>
      <c r="U195" s="13">
        <v>5507200</v>
      </c>
      <c r="V195" s="13"/>
      <c r="W195" s="13"/>
      <c r="X195" s="13"/>
      <c r="Y195" s="13"/>
      <c r="Z195" s="13"/>
      <c r="AA195" s="13"/>
      <c r="AB195" s="13"/>
      <c r="AC195" s="4">
        <f t="shared" si="3"/>
        <v>5507200</v>
      </c>
    </row>
    <row r="196" spans="3:29" ht="127.5" x14ac:dyDescent="0.25">
      <c r="C196" s="5" t="s">
        <v>27</v>
      </c>
      <c r="D196" s="5" t="s">
        <v>28</v>
      </c>
      <c r="E196" s="5" t="s">
        <v>27</v>
      </c>
      <c r="F196" s="5" t="s">
        <v>28</v>
      </c>
      <c r="G196" s="5" t="s">
        <v>29</v>
      </c>
      <c r="H196" s="5" t="s">
        <v>30</v>
      </c>
      <c r="I196" s="5" t="s">
        <v>179</v>
      </c>
      <c r="J196" s="5" t="s">
        <v>180</v>
      </c>
      <c r="K196" s="5" t="s">
        <v>181</v>
      </c>
      <c r="L196" s="5" t="s">
        <v>182</v>
      </c>
      <c r="M196" s="5" t="s">
        <v>183</v>
      </c>
      <c r="N196" s="5" t="s">
        <v>61</v>
      </c>
      <c r="O196" s="5" t="s">
        <v>62</v>
      </c>
      <c r="P196" s="15">
        <v>18140000</v>
      </c>
      <c r="Q196" s="13"/>
      <c r="R196" s="13"/>
      <c r="S196" s="13"/>
      <c r="T196" s="13">
        <v>18140000</v>
      </c>
      <c r="U196" s="13"/>
      <c r="V196" s="13"/>
      <c r="W196" s="13"/>
      <c r="X196" s="13"/>
      <c r="Y196" s="13"/>
      <c r="Z196" s="13"/>
      <c r="AA196" s="13"/>
      <c r="AB196" s="13"/>
      <c r="AC196" s="4">
        <f t="shared" si="3"/>
        <v>18140000</v>
      </c>
    </row>
    <row r="197" spans="3:29" ht="127.5" x14ac:dyDescent="0.25">
      <c r="C197" s="5" t="s">
        <v>27</v>
      </c>
      <c r="D197" s="5" t="s">
        <v>28</v>
      </c>
      <c r="E197" s="5" t="s">
        <v>27</v>
      </c>
      <c r="F197" s="5" t="s">
        <v>28</v>
      </c>
      <c r="G197" s="5" t="s">
        <v>29</v>
      </c>
      <c r="H197" s="5" t="s">
        <v>30</v>
      </c>
      <c r="I197" s="5" t="s">
        <v>179</v>
      </c>
      <c r="J197" s="5" t="s">
        <v>180</v>
      </c>
      <c r="K197" s="5" t="s">
        <v>181</v>
      </c>
      <c r="L197" s="5" t="s">
        <v>182</v>
      </c>
      <c r="M197" s="5" t="s">
        <v>183</v>
      </c>
      <c r="N197" s="5" t="s">
        <v>101</v>
      </c>
      <c r="O197" s="5" t="s">
        <v>102</v>
      </c>
      <c r="P197" s="15">
        <v>41860000</v>
      </c>
      <c r="Q197" s="13"/>
      <c r="R197" s="13"/>
      <c r="S197" s="13"/>
      <c r="T197" s="13">
        <v>41860000</v>
      </c>
      <c r="U197" s="13"/>
      <c r="V197" s="13"/>
      <c r="W197" s="13"/>
      <c r="X197" s="13"/>
      <c r="Y197" s="13"/>
      <c r="Z197" s="13"/>
      <c r="AA197" s="13"/>
      <c r="AB197" s="13"/>
      <c r="AC197" s="4">
        <f t="shared" si="3"/>
        <v>41860000</v>
      </c>
    </row>
    <row r="198" spans="3:29" ht="76.5" x14ac:dyDescent="0.25">
      <c r="C198" s="5" t="s">
        <v>27</v>
      </c>
      <c r="D198" s="5" t="s">
        <v>28</v>
      </c>
      <c r="E198" s="5" t="s">
        <v>27</v>
      </c>
      <c r="F198" s="5" t="s">
        <v>28</v>
      </c>
      <c r="G198" s="5" t="s">
        <v>29</v>
      </c>
      <c r="H198" s="5" t="s">
        <v>30</v>
      </c>
      <c r="I198" s="5" t="s">
        <v>184</v>
      </c>
      <c r="J198" s="5" t="s">
        <v>185</v>
      </c>
      <c r="K198" s="5" t="s">
        <v>186</v>
      </c>
      <c r="L198" s="5" t="s">
        <v>187</v>
      </c>
      <c r="M198" s="5" t="s">
        <v>188</v>
      </c>
      <c r="N198" s="5" t="s">
        <v>101</v>
      </c>
      <c r="O198" s="5" t="s">
        <v>102</v>
      </c>
      <c r="P198" s="15">
        <v>5016000</v>
      </c>
      <c r="Q198" s="13"/>
      <c r="R198" s="13"/>
      <c r="S198" s="13"/>
      <c r="T198" s="13"/>
      <c r="U198" s="13"/>
      <c r="V198" s="13"/>
      <c r="W198" s="13">
        <v>5016000</v>
      </c>
      <c r="X198" s="13"/>
      <c r="Y198" s="13"/>
      <c r="Z198" s="13"/>
      <c r="AA198" s="13"/>
      <c r="AB198" s="13"/>
      <c r="AC198" s="4">
        <f t="shared" si="3"/>
        <v>5016000</v>
      </c>
    </row>
    <row r="199" spans="3:29" ht="76.5" x14ac:dyDescent="0.25">
      <c r="C199" s="5" t="s">
        <v>27</v>
      </c>
      <c r="D199" s="5" t="s">
        <v>28</v>
      </c>
      <c r="E199" s="5" t="s">
        <v>27</v>
      </c>
      <c r="F199" s="5" t="s">
        <v>28</v>
      </c>
      <c r="G199" s="5" t="s">
        <v>29</v>
      </c>
      <c r="H199" s="5" t="s">
        <v>30</v>
      </c>
      <c r="I199" s="5" t="s">
        <v>184</v>
      </c>
      <c r="J199" s="5" t="s">
        <v>185</v>
      </c>
      <c r="K199" s="5" t="s">
        <v>189</v>
      </c>
      <c r="L199" s="5" t="s">
        <v>190</v>
      </c>
      <c r="M199" s="5" t="s">
        <v>191</v>
      </c>
      <c r="N199" s="5" t="s">
        <v>65</v>
      </c>
      <c r="O199" s="5" t="s">
        <v>66</v>
      </c>
      <c r="P199" s="15">
        <v>5043000</v>
      </c>
      <c r="Q199" s="13"/>
      <c r="R199" s="13"/>
      <c r="S199" s="13"/>
      <c r="T199" s="13"/>
      <c r="U199" s="13"/>
      <c r="V199" s="13"/>
      <c r="W199" s="13">
        <v>5043000</v>
      </c>
      <c r="X199" s="13"/>
      <c r="Y199" s="13"/>
      <c r="Z199" s="13"/>
      <c r="AA199" s="13"/>
      <c r="AB199" s="13"/>
      <c r="AC199" s="4">
        <f t="shared" si="3"/>
        <v>5043000</v>
      </c>
    </row>
    <row r="200" spans="3:29" ht="63.75" x14ac:dyDescent="0.25">
      <c r="C200" s="5" t="s">
        <v>27</v>
      </c>
      <c r="D200" s="5" t="s">
        <v>28</v>
      </c>
      <c r="E200" s="5" t="s">
        <v>27</v>
      </c>
      <c r="F200" s="5" t="s">
        <v>28</v>
      </c>
      <c r="G200" s="5" t="s">
        <v>29</v>
      </c>
      <c r="H200" s="5" t="s">
        <v>30</v>
      </c>
      <c r="I200" s="5" t="s">
        <v>192</v>
      </c>
      <c r="J200" s="5" t="s">
        <v>193</v>
      </c>
      <c r="K200" s="5" t="s">
        <v>194</v>
      </c>
      <c r="L200" s="5" t="s">
        <v>195</v>
      </c>
      <c r="M200" s="5" t="s">
        <v>196</v>
      </c>
      <c r="N200" s="5" t="s">
        <v>61</v>
      </c>
      <c r="O200" s="5" t="s">
        <v>62</v>
      </c>
      <c r="P200" s="15">
        <v>6126000</v>
      </c>
      <c r="Q200" s="13"/>
      <c r="R200" s="13"/>
      <c r="S200" s="13"/>
      <c r="T200" s="13"/>
      <c r="U200" s="13">
        <v>6126000</v>
      </c>
      <c r="V200" s="13"/>
      <c r="W200" s="13"/>
      <c r="X200" s="13"/>
      <c r="Y200" s="13"/>
      <c r="Z200" s="13"/>
      <c r="AA200" s="13"/>
      <c r="AB200" s="13"/>
      <c r="AC200" s="4">
        <f t="shared" si="3"/>
        <v>6126000</v>
      </c>
    </row>
    <row r="201" spans="3:29" ht="63.75" x14ac:dyDescent="0.25">
      <c r="C201" s="5" t="s">
        <v>27</v>
      </c>
      <c r="D201" s="5" t="s">
        <v>28</v>
      </c>
      <c r="E201" s="5" t="s">
        <v>27</v>
      </c>
      <c r="F201" s="5" t="s">
        <v>28</v>
      </c>
      <c r="G201" s="5" t="s">
        <v>29</v>
      </c>
      <c r="H201" s="5" t="s">
        <v>30</v>
      </c>
      <c r="I201" s="5" t="s">
        <v>192</v>
      </c>
      <c r="J201" s="5" t="s">
        <v>193</v>
      </c>
      <c r="K201" s="5" t="s">
        <v>194</v>
      </c>
      <c r="L201" s="5" t="s">
        <v>195</v>
      </c>
      <c r="M201" s="5" t="s">
        <v>196</v>
      </c>
      <c r="N201" s="5" t="s">
        <v>101</v>
      </c>
      <c r="O201" s="5" t="s">
        <v>102</v>
      </c>
      <c r="P201" s="15">
        <v>5460000</v>
      </c>
      <c r="Q201" s="13"/>
      <c r="R201" s="13"/>
      <c r="S201" s="13"/>
      <c r="T201" s="13"/>
      <c r="U201" s="13">
        <v>5460000</v>
      </c>
      <c r="V201" s="13"/>
      <c r="W201" s="13"/>
      <c r="X201" s="13"/>
      <c r="Y201" s="13"/>
      <c r="Z201" s="13"/>
      <c r="AA201" s="13"/>
      <c r="AB201" s="13"/>
      <c r="AC201" s="4">
        <f t="shared" si="3"/>
        <v>5460000</v>
      </c>
    </row>
    <row r="202" spans="3:29" ht="63.75" x14ac:dyDescent="0.25">
      <c r="C202" s="5" t="s">
        <v>27</v>
      </c>
      <c r="D202" s="5" t="s">
        <v>28</v>
      </c>
      <c r="E202" s="5" t="s">
        <v>27</v>
      </c>
      <c r="F202" s="5" t="s">
        <v>28</v>
      </c>
      <c r="G202" s="5" t="s">
        <v>29</v>
      </c>
      <c r="H202" s="5" t="s">
        <v>30</v>
      </c>
      <c r="I202" s="5" t="s">
        <v>192</v>
      </c>
      <c r="J202" s="5" t="s">
        <v>193</v>
      </c>
      <c r="K202" s="5" t="s">
        <v>194</v>
      </c>
      <c r="L202" s="5" t="s">
        <v>195</v>
      </c>
      <c r="M202" s="5" t="s">
        <v>197</v>
      </c>
      <c r="N202" s="5" t="s">
        <v>61</v>
      </c>
      <c r="O202" s="5" t="s">
        <v>62</v>
      </c>
      <c r="P202" s="15">
        <v>6126000</v>
      </c>
      <c r="Q202" s="13"/>
      <c r="R202" s="13"/>
      <c r="S202" s="13"/>
      <c r="T202" s="13"/>
      <c r="U202" s="13">
        <v>6126000</v>
      </c>
      <c r="V202" s="13"/>
      <c r="W202" s="13"/>
      <c r="X202" s="13"/>
      <c r="Y202" s="13"/>
      <c r="Z202" s="13"/>
      <c r="AA202" s="13"/>
      <c r="AB202" s="13"/>
      <c r="AC202" s="4">
        <f t="shared" si="3"/>
        <v>6126000</v>
      </c>
    </row>
    <row r="203" spans="3:29" ht="63.75" x14ac:dyDescent="0.25">
      <c r="C203" s="5" t="s">
        <v>27</v>
      </c>
      <c r="D203" s="5" t="s">
        <v>28</v>
      </c>
      <c r="E203" s="5" t="s">
        <v>27</v>
      </c>
      <c r="F203" s="5" t="s">
        <v>28</v>
      </c>
      <c r="G203" s="5" t="s">
        <v>29</v>
      </c>
      <c r="H203" s="5" t="s">
        <v>30</v>
      </c>
      <c r="I203" s="5" t="s">
        <v>192</v>
      </c>
      <c r="J203" s="5" t="s">
        <v>193</v>
      </c>
      <c r="K203" s="5" t="s">
        <v>194</v>
      </c>
      <c r="L203" s="5" t="s">
        <v>195</v>
      </c>
      <c r="M203" s="5" t="s">
        <v>197</v>
      </c>
      <c r="N203" s="5" t="s">
        <v>101</v>
      </c>
      <c r="O203" s="5" t="s">
        <v>102</v>
      </c>
      <c r="P203" s="15">
        <v>5460000</v>
      </c>
      <c r="Q203" s="13"/>
      <c r="R203" s="13"/>
      <c r="S203" s="13"/>
      <c r="T203" s="13"/>
      <c r="U203" s="13">
        <v>5460000</v>
      </c>
      <c r="V203" s="13"/>
      <c r="W203" s="13"/>
      <c r="X203" s="13"/>
      <c r="Y203" s="13"/>
      <c r="Z203" s="13"/>
      <c r="AA203" s="13"/>
      <c r="AB203" s="13"/>
      <c r="AC203" s="4">
        <f t="shared" si="3"/>
        <v>5460000</v>
      </c>
    </row>
    <row r="204" spans="3:29" ht="63.75" x14ac:dyDescent="0.25">
      <c r="C204" s="5" t="s">
        <v>27</v>
      </c>
      <c r="D204" s="5" t="s">
        <v>28</v>
      </c>
      <c r="E204" s="5" t="s">
        <v>27</v>
      </c>
      <c r="F204" s="5" t="s">
        <v>28</v>
      </c>
      <c r="G204" s="5" t="s">
        <v>29</v>
      </c>
      <c r="H204" s="5" t="s">
        <v>30</v>
      </c>
      <c r="I204" s="5" t="s">
        <v>192</v>
      </c>
      <c r="J204" s="5" t="s">
        <v>193</v>
      </c>
      <c r="K204" s="5" t="s">
        <v>198</v>
      </c>
      <c r="L204" s="5" t="s">
        <v>199</v>
      </c>
      <c r="M204" s="5" t="s">
        <v>200</v>
      </c>
      <c r="N204" s="5" t="s">
        <v>201</v>
      </c>
      <c r="O204" s="5" t="s">
        <v>202</v>
      </c>
      <c r="P204" s="15">
        <v>11486788143</v>
      </c>
      <c r="Q204" s="13">
        <v>1500000000</v>
      </c>
      <c r="R204" s="13">
        <v>1000000000</v>
      </c>
      <c r="S204" s="13">
        <v>2000000000</v>
      </c>
      <c r="T204" s="13">
        <v>1000000000</v>
      </c>
      <c r="U204" s="13">
        <v>1000000000</v>
      </c>
      <c r="V204" s="13">
        <v>2000000000</v>
      </c>
      <c r="W204" s="13">
        <v>1000000000</v>
      </c>
      <c r="X204" s="13">
        <v>1000000000</v>
      </c>
      <c r="Y204" s="13">
        <v>986788143</v>
      </c>
      <c r="Z204" s="13">
        <v>0</v>
      </c>
      <c r="AA204" s="13">
        <v>0</v>
      </c>
      <c r="AB204" s="13">
        <v>0</v>
      </c>
      <c r="AC204" s="4">
        <f>Q204+R204+S204+T204+U204+V204+W204+X204+Y204+Z204+AA204+AB204</f>
        <v>11486788143</v>
      </c>
    </row>
    <row r="205" spans="3:29" ht="63.75" x14ac:dyDescent="0.25">
      <c r="C205" s="5" t="s">
        <v>27</v>
      </c>
      <c r="D205" s="5" t="s">
        <v>28</v>
      </c>
      <c r="E205" s="5" t="s">
        <v>27</v>
      </c>
      <c r="F205" s="5" t="s">
        <v>28</v>
      </c>
      <c r="G205" s="5" t="s">
        <v>29</v>
      </c>
      <c r="H205" s="5" t="s">
        <v>30</v>
      </c>
      <c r="I205" s="5" t="s">
        <v>192</v>
      </c>
      <c r="J205" s="5" t="s">
        <v>193</v>
      </c>
      <c r="K205" s="5" t="s">
        <v>198</v>
      </c>
      <c r="L205" s="5" t="s">
        <v>199</v>
      </c>
      <c r="M205" s="5" t="s">
        <v>200</v>
      </c>
      <c r="N205" s="5" t="s">
        <v>203</v>
      </c>
      <c r="O205" s="5" t="s">
        <v>204</v>
      </c>
      <c r="P205" s="15">
        <v>7504156779</v>
      </c>
      <c r="Q205" s="13">
        <v>975000000</v>
      </c>
      <c r="R205" s="13">
        <v>650000000</v>
      </c>
      <c r="S205" s="13">
        <v>1300000000</v>
      </c>
      <c r="T205" s="13">
        <v>650000000</v>
      </c>
      <c r="U205" s="18">
        <v>650000000</v>
      </c>
      <c r="V205" s="13">
        <v>1300000000</v>
      </c>
      <c r="W205" s="13">
        <v>650000000</v>
      </c>
      <c r="X205" s="13">
        <v>650000000</v>
      </c>
      <c r="Y205" s="13">
        <v>650000000</v>
      </c>
      <c r="Z205" s="13">
        <v>29156779</v>
      </c>
      <c r="AA205" s="13">
        <v>0</v>
      </c>
      <c r="AB205" s="13">
        <v>0</v>
      </c>
      <c r="AC205" s="4">
        <f t="shared" si="3"/>
        <v>7504156779</v>
      </c>
    </row>
    <row r="206" spans="3:29" ht="63.75" x14ac:dyDescent="0.25">
      <c r="C206" s="5" t="s">
        <v>27</v>
      </c>
      <c r="D206" s="5" t="s">
        <v>28</v>
      </c>
      <c r="E206" s="5" t="s">
        <v>27</v>
      </c>
      <c r="F206" s="5" t="s">
        <v>28</v>
      </c>
      <c r="G206" s="5" t="s">
        <v>29</v>
      </c>
      <c r="H206" s="5" t="s">
        <v>30</v>
      </c>
      <c r="I206" s="5" t="s">
        <v>192</v>
      </c>
      <c r="J206" s="5" t="s">
        <v>193</v>
      </c>
      <c r="K206" s="5" t="s">
        <v>198</v>
      </c>
      <c r="L206" s="5" t="s">
        <v>199</v>
      </c>
      <c r="M206" s="14" t="s">
        <v>200</v>
      </c>
      <c r="N206" s="14" t="s">
        <v>205</v>
      </c>
      <c r="O206" s="14" t="s">
        <v>206</v>
      </c>
      <c r="P206" s="20">
        <v>4127840693</v>
      </c>
      <c r="Q206" s="13">
        <v>0</v>
      </c>
      <c r="R206" s="13">
        <v>0</v>
      </c>
      <c r="S206" s="13">
        <v>2500000000</v>
      </c>
      <c r="T206" s="13">
        <v>0</v>
      </c>
      <c r="U206" s="13">
        <v>0</v>
      </c>
      <c r="V206" s="11">
        <v>1627840693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4">
        <f t="shared" si="3"/>
        <v>4127840693</v>
      </c>
    </row>
    <row r="207" spans="3:29" ht="63.75" x14ac:dyDescent="0.25">
      <c r="C207" s="5" t="s">
        <v>27</v>
      </c>
      <c r="D207" s="5" t="s">
        <v>28</v>
      </c>
      <c r="E207" s="5" t="s">
        <v>27</v>
      </c>
      <c r="F207" s="5" t="s">
        <v>28</v>
      </c>
      <c r="G207" s="5" t="s">
        <v>29</v>
      </c>
      <c r="H207" s="5" t="s">
        <v>30</v>
      </c>
      <c r="I207" s="5" t="s">
        <v>192</v>
      </c>
      <c r="J207" s="5" t="s">
        <v>193</v>
      </c>
      <c r="K207" s="5" t="s">
        <v>198</v>
      </c>
      <c r="L207" s="5" t="s">
        <v>199</v>
      </c>
      <c r="M207" s="5" t="s">
        <v>200</v>
      </c>
      <c r="N207" s="5" t="s">
        <v>207</v>
      </c>
      <c r="O207" s="5" t="s">
        <v>208</v>
      </c>
      <c r="P207" s="15">
        <v>5467668323</v>
      </c>
      <c r="Q207" s="13">
        <v>525000000</v>
      </c>
      <c r="R207" s="13">
        <v>350000000</v>
      </c>
      <c r="S207" s="13">
        <v>700000000</v>
      </c>
      <c r="T207" s="13">
        <v>400000000</v>
      </c>
      <c r="U207" s="13">
        <v>400000000</v>
      </c>
      <c r="V207" s="13">
        <v>700000000</v>
      </c>
      <c r="W207" s="13">
        <v>400000000</v>
      </c>
      <c r="X207" s="13">
        <v>400000000</v>
      </c>
      <c r="Y207" s="13">
        <v>400000000</v>
      </c>
      <c r="Z207" s="13">
        <v>400000000</v>
      </c>
      <c r="AA207" s="13">
        <v>350000000</v>
      </c>
      <c r="AB207" s="13">
        <v>442668323</v>
      </c>
      <c r="AC207" s="4">
        <f t="shared" si="3"/>
        <v>5467668323</v>
      </c>
    </row>
    <row r="208" spans="3:29" ht="63.75" x14ac:dyDescent="0.25">
      <c r="C208" s="5" t="s">
        <v>27</v>
      </c>
      <c r="D208" s="5" t="s">
        <v>28</v>
      </c>
      <c r="E208" s="5" t="s">
        <v>27</v>
      </c>
      <c r="F208" s="5" t="s">
        <v>28</v>
      </c>
      <c r="G208" s="5" t="s">
        <v>29</v>
      </c>
      <c r="H208" s="5" t="s">
        <v>30</v>
      </c>
      <c r="I208" s="5" t="s">
        <v>192</v>
      </c>
      <c r="J208" s="5" t="s">
        <v>193</v>
      </c>
      <c r="K208" s="5" t="s">
        <v>198</v>
      </c>
      <c r="L208" s="5" t="s">
        <v>199</v>
      </c>
      <c r="M208" s="5" t="s">
        <v>200</v>
      </c>
      <c r="N208" s="5" t="s">
        <v>209</v>
      </c>
      <c r="O208" s="5" t="s">
        <v>210</v>
      </c>
      <c r="P208" s="15">
        <v>6730198529</v>
      </c>
      <c r="Q208" s="13">
        <v>750000000</v>
      </c>
      <c r="R208" s="13">
        <v>500000000</v>
      </c>
      <c r="S208" s="13">
        <v>1000000000</v>
      </c>
      <c r="T208" s="13">
        <v>500000000</v>
      </c>
      <c r="U208" s="13">
        <v>500000000</v>
      </c>
      <c r="V208" s="13">
        <v>1000000000</v>
      </c>
      <c r="W208" s="13">
        <v>500000000</v>
      </c>
      <c r="X208" s="13">
        <v>500000000</v>
      </c>
      <c r="Y208" s="13">
        <v>500000000</v>
      </c>
      <c r="Z208" s="13">
        <v>500000000</v>
      </c>
      <c r="AA208" s="13">
        <v>480198529</v>
      </c>
      <c r="AB208" s="13">
        <v>0</v>
      </c>
      <c r="AC208" s="4">
        <f t="shared" si="3"/>
        <v>6730198529</v>
      </c>
    </row>
    <row r="209" spans="3:29" ht="63.75" x14ac:dyDescent="0.25">
      <c r="C209" s="5" t="s">
        <v>27</v>
      </c>
      <c r="D209" s="5" t="s">
        <v>28</v>
      </c>
      <c r="E209" s="5" t="s">
        <v>27</v>
      </c>
      <c r="F209" s="5" t="s">
        <v>28</v>
      </c>
      <c r="G209" s="5" t="s">
        <v>29</v>
      </c>
      <c r="H209" s="5" t="s">
        <v>30</v>
      </c>
      <c r="I209" s="5" t="s">
        <v>192</v>
      </c>
      <c r="J209" s="5" t="s">
        <v>193</v>
      </c>
      <c r="K209" s="5" t="s">
        <v>198</v>
      </c>
      <c r="L209" s="5" t="s">
        <v>199</v>
      </c>
      <c r="M209" s="5" t="s">
        <v>200</v>
      </c>
      <c r="N209" s="5" t="s">
        <v>211</v>
      </c>
      <c r="O209" s="5" t="s">
        <v>212</v>
      </c>
      <c r="P209" s="15">
        <v>131297573</v>
      </c>
      <c r="Q209" s="13">
        <v>15000000</v>
      </c>
      <c r="R209" s="13">
        <v>10000000</v>
      </c>
      <c r="S209" s="13">
        <v>20000000</v>
      </c>
      <c r="T209" s="13">
        <v>10000000</v>
      </c>
      <c r="U209" s="13">
        <v>10000000</v>
      </c>
      <c r="V209" s="13">
        <v>20000000</v>
      </c>
      <c r="W209" s="13">
        <v>10000000</v>
      </c>
      <c r="X209" s="13">
        <v>10000000</v>
      </c>
      <c r="Y209" s="13">
        <v>10000000</v>
      </c>
      <c r="Z209" s="13">
        <v>10000000</v>
      </c>
      <c r="AA209" s="13">
        <v>6297573</v>
      </c>
      <c r="AB209" s="13">
        <v>0</v>
      </c>
      <c r="AC209" s="4">
        <f t="shared" si="3"/>
        <v>131297573</v>
      </c>
    </row>
    <row r="210" spans="3:29" ht="63.75" x14ac:dyDescent="0.25">
      <c r="C210" s="5" t="s">
        <v>27</v>
      </c>
      <c r="D210" s="5" t="s">
        <v>28</v>
      </c>
      <c r="E210" s="5" t="s">
        <v>27</v>
      </c>
      <c r="F210" s="5" t="s">
        <v>28</v>
      </c>
      <c r="G210" s="5" t="s">
        <v>29</v>
      </c>
      <c r="H210" s="5" t="s">
        <v>30</v>
      </c>
      <c r="I210" s="5" t="s">
        <v>192</v>
      </c>
      <c r="J210" s="5" t="s">
        <v>193</v>
      </c>
      <c r="K210" s="5" t="s">
        <v>198</v>
      </c>
      <c r="L210" s="5" t="s">
        <v>199</v>
      </c>
      <c r="M210" s="5" t="s">
        <v>200</v>
      </c>
      <c r="N210" s="5" t="s">
        <v>213</v>
      </c>
      <c r="O210" s="5" t="s">
        <v>214</v>
      </c>
      <c r="P210" s="15">
        <v>94012764066</v>
      </c>
      <c r="Q210" s="13">
        <v>9750000000</v>
      </c>
      <c r="R210" s="13">
        <v>6500000000</v>
      </c>
      <c r="S210" s="13">
        <v>13000000000</v>
      </c>
      <c r="T210" s="13">
        <v>6500000000</v>
      </c>
      <c r="U210" s="13">
        <v>6500000000</v>
      </c>
      <c r="V210" s="13">
        <v>13000000000</v>
      </c>
      <c r="W210" s="13">
        <v>6500000000</v>
      </c>
      <c r="X210" s="13">
        <v>6500000000</v>
      </c>
      <c r="Y210" s="13">
        <v>6500000000</v>
      </c>
      <c r="Z210" s="13">
        <v>6500000000</v>
      </c>
      <c r="AA210" s="13">
        <v>6500000000</v>
      </c>
      <c r="AB210" s="13">
        <v>6262764066</v>
      </c>
      <c r="AC210" s="4">
        <f t="shared" si="3"/>
        <v>94012764066</v>
      </c>
    </row>
    <row r="211" spans="3:29" ht="63.75" x14ac:dyDescent="0.25">
      <c r="C211" s="5" t="s">
        <v>27</v>
      </c>
      <c r="D211" s="5" t="s">
        <v>28</v>
      </c>
      <c r="E211" s="5" t="s">
        <v>27</v>
      </c>
      <c r="F211" s="5" t="s">
        <v>28</v>
      </c>
      <c r="G211" s="5" t="s">
        <v>29</v>
      </c>
      <c r="H211" s="5" t="s">
        <v>30</v>
      </c>
      <c r="I211" s="5" t="s">
        <v>192</v>
      </c>
      <c r="J211" s="5" t="s">
        <v>193</v>
      </c>
      <c r="K211" s="5" t="s">
        <v>198</v>
      </c>
      <c r="L211" s="5" t="s">
        <v>199</v>
      </c>
      <c r="M211" s="5" t="s">
        <v>200</v>
      </c>
      <c r="N211" s="5" t="s">
        <v>215</v>
      </c>
      <c r="O211" s="5" t="s">
        <v>216</v>
      </c>
      <c r="P211" s="15">
        <v>117097432107</v>
      </c>
      <c r="Q211" s="13">
        <v>12600000000</v>
      </c>
      <c r="R211" s="13">
        <v>8400000000</v>
      </c>
      <c r="S211" s="13">
        <v>16800000000</v>
      </c>
      <c r="T211" s="13">
        <v>8400000000</v>
      </c>
      <c r="U211" s="13">
        <v>8400000000</v>
      </c>
      <c r="V211" s="13">
        <v>16800000000</v>
      </c>
      <c r="W211" s="13">
        <v>8300000000</v>
      </c>
      <c r="X211" s="13">
        <v>8300000000</v>
      </c>
      <c r="Y211" s="13">
        <v>8300000000</v>
      </c>
      <c r="Z211" s="13">
        <v>8300000000</v>
      </c>
      <c r="AA211" s="13">
        <v>8300000000</v>
      </c>
      <c r="AB211" s="13">
        <v>4197432107</v>
      </c>
      <c r="AC211" s="4">
        <f t="shared" si="3"/>
        <v>117097432107</v>
      </c>
    </row>
    <row r="212" spans="3:29" ht="63.75" x14ac:dyDescent="0.25">
      <c r="C212" s="5" t="s">
        <v>27</v>
      </c>
      <c r="D212" s="5" t="s">
        <v>28</v>
      </c>
      <c r="E212" s="5" t="s">
        <v>27</v>
      </c>
      <c r="F212" s="5" t="s">
        <v>28</v>
      </c>
      <c r="G212" s="5" t="s">
        <v>29</v>
      </c>
      <c r="H212" s="5" t="s">
        <v>30</v>
      </c>
      <c r="I212" s="5" t="s">
        <v>192</v>
      </c>
      <c r="J212" s="5" t="s">
        <v>193</v>
      </c>
      <c r="K212" s="5" t="s">
        <v>198</v>
      </c>
      <c r="L212" s="5" t="s">
        <v>199</v>
      </c>
      <c r="M212" s="5" t="s">
        <v>200</v>
      </c>
      <c r="N212" s="5" t="s">
        <v>217</v>
      </c>
      <c r="O212" s="5" t="s">
        <v>218</v>
      </c>
      <c r="P212" s="15">
        <v>100758404821</v>
      </c>
      <c r="Q212" s="13">
        <v>12300000000</v>
      </c>
      <c r="R212" s="13">
        <v>8200000000</v>
      </c>
      <c r="S212" s="13">
        <v>16400000000</v>
      </c>
      <c r="T212" s="13">
        <v>8200000000</v>
      </c>
      <c r="U212" s="13">
        <v>8200000000</v>
      </c>
      <c r="V212" s="13">
        <v>16400000000</v>
      </c>
      <c r="W212" s="13">
        <v>8200000000</v>
      </c>
      <c r="X212" s="13">
        <v>8200000000</v>
      </c>
      <c r="Y212" s="13">
        <v>8200000000</v>
      </c>
      <c r="Z212" s="13">
        <v>6355769229</v>
      </c>
      <c r="AA212" s="13">
        <v>102635592</v>
      </c>
      <c r="AB212" s="13">
        <v>0</v>
      </c>
      <c r="AC212" s="4">
        <f t="shared" si="3"/>
        <v>100758404821</v>
      </c>
    </row>
    <row r="213" spans="3:29" ht="63.75" x14ac:dyDescent="0.25">
      <c r="C213" s="5" t="s">
        <v>27</v>
      </c>
      <c r="D213" s="5" t="s">
        <v>28</v>
      </c>
      <c r="E213" s="5" t="s">
        <v>27</v>
      </c>
      <c r="F213" s="5" t="s">
        <v>28</v>
      </c>
      <c r="G213" s="5" t="s">
        <v>29</v>
      </c>
      <c r="H213" s="5" t="s">
        <v>30</v>
      </c>
      <c r="I213" s="5" t="s">
        <v>192</v>
      </c>
      <c r="J213" s="5" t="s">
        <v>193</v>
      </c>
      <c r="K213" s="5" t="s">
        <v>198</v>
      </c>
      <c r="L213" s="5" t="s">
        <v>199</v>
      </c>
      <c r="M213" s="5" t="s">
        <v>200</v>
      </c>
      <c r="N213" s="5" t="s">
        <v>219</v>
      </c>
      <c r="O213" s="5" t="s">
        <v>220</v>
      </c>
      <c r="P213" s="15">
        <v>114037637542</v>
      </c>
      <c r="Q213" s="13">
        <v>14550000000</v>
      </c>
      <c r="R213" s="13">
        <v>9700000000</v>
      </c>
      <c r="S213" s="13">
        <v>19400000000</v>
      </c>
      <c r="T213" s="13">
        <v>9700000000</v>
      </c>
      <c r="U213" s="13">
        <v>9700000000</v>
      </c>
      <c r="V213" s="13">
        <v>19400000000</v>
      </c>
      <c r="W213" s="13">
        <v>9700000000</v>
      </c>
      <c r="X213" s="13">
        <v>9700000000</v>
      </c>
      <c r="Y213" s="13">
        <v>9700000000</v>
      </c>
      <c r="Z213" s="13">
        <v>2487637542</v>
      </c>
      <c r="AA213" s="13">
        <v>0</v>
      </c>
      <c r="AB213" s="13">
        <v>0</v>
      </c>
      <c r="AC213" s="4">
        <f t="shared" si="3"/>
        <v>114037637542</v>
      </c>
    </row>
    <row r="214" spans="3:29" ht="63.75" x14ac:dyDescent="0.25">
      <c r="C214" s="5" t="s">
        <v>27</v>
      </c>
      <c r="D214" s="5" t="s">
        <v>28</v>
      </c>
      <c r="E214" s="5" t="s">
        <v>27</v>
      </c>
      <c r="F214" s="5" t="s">
        <v>28</v>
      </c>
      <c r="G214" s="5" t="s">
        <v>29</v>
      </c>
      <c r="H214" s="5" t="s">
        <v>30</v>
      </c>
      <c r="I214" s="5" t="s">
        <v>192</v>
      </c>
      <c r="J214" s="5" t="s">
        <v>193</v>
      </c>
      <c r="K214" s="5" t="s">
        <v>198</v>
      </c>
      <c r="L214" s="5" t="s">
        <v>199</v>
      </c>
      <c r="M214" s="5" t="s">
        <v>200</v>
      </c>
      <c r="N214" s="5" t="s">
        <v>221</v>
      </c>
      <c r="O214" s="5" t="s">
        <v>222</v>
      </c>
      <c r="P214" s="15">
        <v>10129980934</v>
      </c>
      <c r="Q214" s="13">
        <v>1350000000</v>
      </c>
      <c r="R214" s="13">
        <v>900000000</v>
      </c>
      <c r="S214" s="13">
        <v>1800000000</v>
      </c>
      <c r="T214" s="13">
        <v>900000000</v>
      </c>
      <c r="U214" s="13">
        <v>900000000</v>
      </c>
      <c r="V214" s="13">
        <v>1800000000</v>
      </c>
      <c r="W214" s="13">
        <v>900000000</v>
      </c>
      <c r="X214" s="13">
        <v>900000000</v>
      </c>
      <c r="Y214" s="13">
        <v>679980934</v>
      </c>
      <c r="Z214" s="13">
        <v>0</v>
      </c>
      <c r="AA214" s="13">
        <v>0</v>
      </c>
      <c r="AB214" s="13">
        <v>0</v>
      </c>
      <c r="AC214" s="4">
        <f t="shared" si="3"/>
        <v>10129980934</v>
      </c>
    </row>
    <row r="215" spans="3:29" ht="63.75" x14ac:dyDescent="0.25">
      <c r="C215" s="5" t="s">
        <v>27</v>
      </c>
      <c r="D215" s="5" t="s">
        <v>28</v>
      </c>
      <c r="E215" s="5" t="s">
        <v>27</v>
      </c>
      <c r="F215" s="5" t="s">
        <v>28</v>
      </c>
      <c r="G215" s="5" t="s">
        <v>29</v>
      </c>
      <c r="H215" s="5" t="s">
        <v>30</v>
      </c>
      <c r="I215" s="5" t="s">
        <v>192</v>
      </c>
      <c r="J215" s="5" t="s">
        <v>193</v>
      </c>
      <c r="K215" s="5" t="s">
        <v>198</v>
      </c>
      <c r="L215" s="5" t="s">
        <v>199</v>
      </c>
      <c r="M215" s="5" t="s">
        <v>200</v>
      </c>
      <c r="N215" s="5" t="s">
        <v>223</v>
      </c>
      <c r="O215" s="5" t="s">
        <v>224</v>
      </c>
      <c r="P215" s="15">
        <v>155846875</v>
      </c>
      <c r="Q215" s="13">
        <v>19500000</v>
      </c>
      <c r="R215" s="13">
        <v>13000000</v>
      </c>
      <c r="S215" s="13">
        <v>26000000</v>
      </c>
      <c r="T215" s="13">
        <v>13000000</v>
      </c>
      <c r="U215" s="13">
        <v>13000000</v>
      </c>
      <c r="V215" s="13">
        <v>26000000</v>
      </c>
      <c r="W215" s="13">
        <v>13000000</v>
      </c>
      <c r="X215" s="13">
        <v>13000000</v>
      </c>
      <c r="Y215" s="13">
        <v>13000000</v>
      </c>
      <c r="Z215" s="13">
        <v>6346875</v>
      </c>
      <c r="AA215" s="13">
        <v>0</v>
      </c>
      <c r="AB215" s="13">
        <v>0</v>
      </c>
      <c r="AC215" s="4">
        <f t="shared" si="3"/>
        <v>155846875</v>
      </c>
    </row>
    <row r="216" spans="3:29" ht="63.75" x14ac:dyDescent="0.25">
      <c r="C216" s="5" t="s">
        <v>27</v>
      </c>
      <c r="D216" s="5" t="s">
        <v>28</v>
      </c>
      <c r="E216" s="5" t="s">
        <v>27</v>
      </c>
      <c r="F216" s="5" t="s">
        <v>28</v>
      </c>
      <c r="G216" s="5" t="s">
        <v>29</v>
      </c>
      <c r="H216" s="5" t="s">
        <v>30</v>
      </c>
      <c r="I216" s="5" t="s">
        <v>192</v>
      </c>
      <c r="J216" s="5" t="s">
        <v>193</v>
      </c>
      <c r="K216" s="5" t="s">
        <v>198</v>
      </c>
      <c r="L216" s="5" t="s">
        <v>199</v>
      </c>
      <c r="M216" s="5" t="s">
        <v>200</v>
      </c>
      <c r="N216" s="5" t="s">
        <v>225</v>
      </c>
      <c r="O216" s="5" t="s">
        <v>226</v>
      </c>
      <c r="P216" s="15">
        <v>8718184900</v>
      </c>
      <c r="Q216" s="13">
        <v>1125000000</v>
      </c>
      <c r="R216" s="13">
        <v>750000000</v>
      </c>
      <c r="S216" s="13">
        <v>1500000000</v>
      </c>
      <c r="T216" s="13">
        <v>750000000</v>
      </c>
      <c r="U216" s="13">
        <v>750000000</v>
      </c>
      <c r="V216" s="13">
        <v>1500000000</v>
      </c>
      <c r="W216" s="13">
        <v>750000000</v>
      </c>
      <c r="X216" s="13">
        <v>750000000</v>
      </c>
      <c r="Y216" s="13">
        <v>750000000</v>
      </c>
      <c r="Z216" s="13">
        <v>93184900</v>
      </c>
      <c r="AA216" s="13">
        <v>0</v>
      </c>
      <c r="AB216" s="13">
        <v>0</v>
      </c>
      <c r="AC216" s="4">
        <f t="shared" si="3"/>
        <v>8718184900</v>
      </c>
    </row>
    <row r="217" spans="3:29" ht="63.75" x14ac:dyDescent="0.25">
      <c r="C217" s="5" t="s">
        <v>27</v>
      </c>
      <c r="D217" s="5" t="s">
        <v>28</v>
      </c>
      <c r="E217" s="5" t="s">
        <v>27</v>
      </c>
      <c r="F217" s="5" t="s">
        <v>28</v>
      </c>
      <c r="G217" s="5" t="s">
        <v>29</v>
      </c>
      <c r="H217" s="5" t="s">
        <v>30</v>
      </c>
      <c r="I217" s="5" t="s">
        <v>192</v>
      </c>
      <c r="J217" s="5" t="s">
        <v>193</v>
      </c>
      <c r="K217" s="5" t="s">
        <v>198</v>
      </c>
      <c r="L217" s="5" t="s">
        <v>199</v>
      </c>
      <c r="M217" s="5" t="s">
        <v>200</v>
      </c>
      <c r="N217" s="5" t="s">
        <v>227</v>
      </c>
      <c r="O217" s="5" t="s">
        <v>228</v>
      </c>
      <c r="P217" s="15">
        <v>206984250</v>
      </c>
      <c r="Q217" s="13">
        <v>25500000</v>
      </c>
      <c r="R217" s="13">
        <v>17000000</v>
      </c>
      <c r="S217" s="13">
        <v>34000000</v>
      </c>
      <c r="T217" s="13">
        <v>17000000</v>
      </c>
      <c r="U217" s="13">
        <v>17000000</v>
      </c>
      <c r="V217" s="13">
        <v>34000000</v>
      </c>
      <c r="W217" s="13">
        <v>17000000</v>
      </c>
      <c r="X217" s="13">
        <v>17000000</v>
      </c>
      <c r="Y217" s="13">
        <v>17000000</v>
      </c>
      <c r="Z217" s="13">
        <v>11484250</v>
      </c>
      <c r="AA217" s="13">
        <v>0</v>
      </c>
      <c r="AB217" s="13">
        <v>0</v>
      </c>
      <c r="AC217" s="4">
        <f t="shared" si="3"/>
        <v>206984250</v>
      </c>
    </row>
    <row r="218" spans="3:29" ht="63.75" x14ac:dyDescent="0.25">
      <c r="C218" s="5" t="s">
        <v>27</v>
      </c>
      <c r="D218" s="5" t="s">
        <v>28</v>
      </c>
      <c r="E218" s="5" t="s">
        <v>27</v>
      </c>
      <c r="F218" s="5" t="s">
        <v>28</v>
      </c>
      <c r="G218" s="5" t="s">
        <v>29</v>
      </c>
      <c r="H218" s="5" t="s">
        <v>30</v>
      </c>
      <c r="I218" s="5" t="s">
        <v>192</v>
      </c>
      <c r="J218" s="5" t="s">
        <v>193</v>
      </c>
      <c r="K218" s="5" t="s">
        <v>198</v>
      </c>
      <c r="L218" s="5" t="s">
        <v>199</v>
      </c>
      <c r="M218" s="5" t="s">
        <v>200</v>
      </c>
      <c r="N218" s="5" t="s">
        <v>229</v>
      </c>
      <c r="O218" s="5" t="s">
        <v>230</v>
      </c>
      <c r="P218" s="15">
        <v>6618082375</v>
      </c>
      <c r="Q218" s="13">
        <v>855000000</v>
      </c>
      <c r="R218" s="13">
        <v>570000000</v>
      </c>
      <c r="S218" s="13">
        <v>1140000000</v>
      </c>
      <c r="T218" s="13">
        <v>570000000</v>
      </c>
      <c r="U218" s="13">
        <v>570000000</v>
      </c>
      <c r="V218" s="13">
        <v>1140000000</v>
      </c>
      <c r="W218" s="13">
        <v>570000000</v>
      </c>
      <c r="X218" s="13">
        <v>570000000</v>
      </c>
      <c r="Y218" s="13">
        <v>570000000</v>
      </c>
      <c r="Z218" s="13">
        <v>63082375</v>
      </c>
      <c r="AA218" s="13">
        <v>0</v>
      </c>
      <c r="AB218" s="13">
        <v>0</v>
      </c>
      <c r="AC218" s="4">
        <f t="shared" si="3"/>
        <v>6618082375</v>
      </c>
    </row>
    <row r="219" spans="3:29" ht="63.75" x14ac:dyDescent="0.25">
      <c r="C219" s="5" t="s">
        <v>27</v>
      </c>
      <c r="D219" s="5" t="s">
        <v>28</v>
      </c>
      <c r="E219" s="5" t="s">
        <v>27</v>
      </c>
      <c r="F219" s="5" t="s">
        <v>28</v>
      </c>
      <c r="G219" s="5" t="s">
        <v>29</v>
      </c>
      <c r="H219" s="5" t="s">
        <v>30</v>
      </c>
      <c r="I219" s="5" t="s">
        <v>192</v>
      </c>
      <c r="J219" s="5" t="s">
        <v>193</v>
      </c>
      <c r="K219" s="5" t="s">
        <v>198</v>
      </c>
      <c r="L219" s="5" t="s">
        <v>199</v>
      </c>
      <c r="M219" s="5" t="s">
        <v>200</v>
      </c>
      <c r="N219" s="5" t="s">
        <v>231</v>
      </c>
      <c r="O219" s="5" t="s">
        <v>232</v>
      </c>
      <c r="P219" s="15">
        <v>5530820409</v>
      </c>
      <c r="Q219" s="13">
        <v>630000000</v>
      </c>
      <c r="R219" s="13">
        <v>420000000</v>
      </c>
      <c r="S219" s="13">
        <v>840000000</v>
      </c>
      <c r="T219" s="13">
        <v>420000000</v>
      </c>
      <c r="U219" s="13">
        <v>420000000</v>
      </c>
      <c r="V219" s="13">
        <v>840000000</v>
      </c>
      <c r="W219" s="13">
        <v>420000000</v>
      </c>
      <c r="X219" s="13">
        <v>420000000</v>
      </c>
      <c r="Y219" s="13">
        <v>420000000</v>
      </c>
      <c r="Z219" s="13">
        <v>420000000</v>
      </c>
      <c r="AA219" s="13">
        <v>280820409</v>
      </c>
      <c r="AB219" s="13">
        <v>0</v>
      </c>
      <c r="AC219" s="4">
        <f t="shared" si="3"/>
        <v>5530820409</v>
      </c>
    </row>
    <row r="220" spans="3:29" ht="63.75" x14ac:dyDescent="0.25">
      <c r="C220" s="5" t="s">
        <v>27</v>
      </c>
      <c r="D220" s="5" t="s">
        <v>28</v>
      </c>
      <c r="E220" s="5" t="s">
        <v>27</v>
      </c>
      <c r="F220" s="5" t="s">
        <v>28</v>
      </c>
      <c r="G220" s="5" t="s">
        <v>29</v>
      </c>
      <c r="H220" s="5" t="s">
        <v>30</v>
      </c>
      <c r="I220" s="5" t="s">
        <v>192</v>
      </c>
      <c r="J220" s="5" t="s">
        <v>193</v>
      </c>
      <c r="K220" s="5" t="s">
        <v>198</v>
      </c>
      <c r="L220" s="5" t="s">
        <v>199</v>
      </c>
      <c r="M220" s="14" t="s">
        <v>200</v>
      </c>
      <c r="N220" s="14" t="s">
        <v>233</v>
      </c>
      <c r="O220" s="14" t="s">
        <v>234</v>
      </c>
      <c r="P220" s="20">
        <v>9408504171</v>
      </c>
      <c r="Q220" s="13">
        <v>900000000</v>
      </c>
      <c r="R220" s="13">
        <v>600000000</v>
      </c>
      <c r="S220" s="13">
        <v>2650000000</v>
      </c>
      <c r="T220" s="13">
        <v>400000000</v>
      </c>
      <c r="U220" s="13">
        <v>400000000</v>
      </c>
      <c r="V220" s="13">
        <v>2650000000</v>
      </c>
      <c r="W220" s="13">
        <v>400000000</v>
      </c>
      <c r="X220" s="13">
        <v>350000000</v>
      </c>
      <c r="Y220" s="13">
        <v>350000000</v>
      </c>
      <c r="Z220" s="13">
        <v>350000000</v>
      </c>
      <c r="AA220" s="13">
        <v>350000000</v>
      </c>
      <c r="AB220" s="11">
        <v>8504171</v>
      </c>
      <c r="AC220" s="4">
        <f t="shared" si="3"/>
        <v>9408504171</v>
      </c>
    </row>
    <row r="221" spans="3:29" ht="63.75" x14ac:dyDescent="0.25">
      <c r="C221" s="5" t="s">
        <v>27</v>
      </c>
      <c r="D221" s="5" t="s">
        <v>28</v>
      </c>
      <c r="E221" s="5" t="s">
        <v>27</v>
      </c>
      <c r="F221" s="5" t="s">
        <v>28</v>
      </c>
      <c r="G221" s="5" t="s">
        <v>29</v>
      </c>
      <c r="H221" s="5" t="s">
        <v>30</v>
      </c>
      <c r="I221" s="5" t="s">
        <v>192</v>
      </c>
      <c r="J221" s="5" t="s">
        <v>193</v>
      </c>
      <c r="K221" s="5" t="s">
        <v>198</v>
      </c>
      <c r="L221" s="5" t="s">
        <v>199</v>
      </c>
      <c r="M221" s="5" t="s">
        <v>200</v>
      </c>
      <c r="N221" s="5" t="s">
        <v>235</v>
      </c>
      <c r="O221" s="5" t="s">
        <v>236</v>
      </c>
      <c r="P221" s="15">
        <v>1273110</v>
      </c>
      <c r="Q221" s="13">
        <v>180000</v>
      </c>
      <c r="R221" s="13">
        <v>120000</v>
      </c>
      <c r="S221" s="13">
        <v>240000</v>
      </c>
      <c r="T221" s="13">
        <v>120000</v>
      </c>
      <c r="U221" s="13">
        <v>120000</v>
      </c>
      <c r="V221" s="13">
        <v>240000</v>
      </c>
      <c r="W221" s="13">
        <v>120000</v>
      </c>
      <c r="X221" s="13">
        <v>120000</v>
      </c>
      <c r="Y221" s="13">
        <v>13110</v>
      </c>
      <c r="Z221" s="13">
        <v>0</v>
      </c>
      <c r="AA221" s="13">
        <v>0</v>
      </c>
      <c r="AB221" s="13">
        <v>0</v>
      </c>
      <c r="AC221" s="4">
        <f t="shared" si="3"/>
        <v>1273110</v>
      </c>
    </row>
    <row r="222" spans="3:29" ht="63.75" x14ac:dyDescent="0.25">
      <c r="C222" s="5" t="s">
        <v>27</v>
      </c>
      <c r="D222" s="5" t="s">
        <v>28</v>
      </c>
      <c r="E222" s="5" t="s">
        <v>27</v>
      </c>
      <c r="F222" s="5" t="s">
        <v>28</v>
      </c>
      <c r="G222" s="5" t="s">
        <v>29</v>
      </c>
      <c r="H222" s="5" t="s">
        <v>30</v>
      </c>
      <c r="I222" s="5" t="s">
        <v>192</v>
      </c>
      <c r="J222" s="5" t="s">
        <v>193</v>
      </c>
      <c r="K222" s="5" t="s">
        <v>198</v>
      </c>
      <c r="L222" s="5" t="s">
        <v>199</v>
      </c>
      <c r="M222" s="5" t="s">
        <v>200</v>
      </c>
      <c r="N222" s="5" t="s">
        <v>237</v>
      </c>
      <c r="O222" s="5" t="s">
        <v>238</v>
      </c>
      <c r="P222" s="15">
        <v>2226928</v>
      </c>
      <c r="Q222" s="13">
        <v>300000</v>
      </c>
      <c r="R222" s="13">
        <v>200000</v>
      </c>
      <c r="S222" s="13">
        <v>400000</v>
      </c>
      <c r="T222" s="13">
        <v>200000</v>
      </c>
      <c r="U222" s="13">
        <v>200000</v>
      </c>
      <c r="V222" s="13">
        <v>400000</v>
      </c>
      <c r="W222" s="13">
        <v>200000</v>
      </c>
      <c r="X222" s="13">
        <v>200000</v>
      </c>
      <c r="Y222" s="13">
        <v>126928</v>
      </c>
      <c r="Z222" s="13">
        <v>0</v>
      </c>
      <c r="AA222" s="13">
        <v>0</v>
      </c>
      <c r="AB222" s="13">
        <v>0</v>
      </c>
      <c r="AC222" s="4">
        <f t="shared" si="3"/>
        <v>2226928</v>
      </c>
    </row>
    <row r="223" spans="3:29" ht="63.75" x14ac:dyDescent="0.25">
      <c r="C223" s="5" t="s">
        <v>27</v>
      </c>
      <c r="D223" s="5" t="s">
        <v>28</v>
      </c>
      <c r="E223" s="5" t="s">
        <v>27</v>
      </c>
      <c r="F223" s="5" t="s">
        <v>28</v>
      </c>
      <c r="G223" s="5" t="s">
        <v>29</v>
      </c>
      <c r="H223" s="5" t="s">
        <v>30</v>
      </c>
      <c r="I223" s="5" t="s">
        <v>192</v>
      </c>
      <c r="J223" s="5" t="s">
        <v>193</v>
      </c>
      <c r="K223" s="5" t="s">
        <v>198</v>
      </c>
      <c r="L223" s="5" t="s">
        <v>199</v>
      </c>
      <c r="M223" s="5" t="s">
        <v>200</v>
      </c>
      <c r="N223" s="5" t="s">
        <v>239</v>
      </c>
      <c r="O223" s="5" t="s">
        <v>240</v>
      </c>
      <c r="P223" s="15">
        <v>10069179846</v>
      </c>
      <c r="Q223" s="13">
        <v>1050000000</v>
      </c>
      <c r="R223" s="12">
        <f>700000000+250000000</f>
        <v>950000000</v>
      </c>
      <c r="S223" s="12">
        <f>2100000000+250000000</f>
        <v>2350000000</v>
      </c>
      <c r="T223" s="12">
        <f>700000000+250000000</f>
        <v>950000000</v>
      </c>
      <c r="U223" s="12">
        <f>700000000+250000000</f>
        <v>950000000</v>
      </c>
      <c r="V223" s="12">
        <f>2100000000+250000000</f>
        <v>2350000000</v>
      </c>
      <c r="W223" s="12">
        <f>700000000+250000000</f>
        <v>950000000</v>
      </c>
      <c r="X223" s="12">
        <v>519179846</v>
      </c>
      <c r="Y223" s="12"/>
      <c r="Z223" s="12">
        <v>0</v>
      </c>
      <c r="AA223" s="12">
        <v>0</v>
      </c>
      <c r="AB223" s="13">
        <v>0</v>
      </c>
      <c r="AC223" s="4">
        <f t="shared" si="3"/>
        <v>10069179846</v>
      </c>
    </row>
    <row r="224" spans="3:29" ht="63.75" x14ac:dyDescent="0.25">
      <c r="C224" s="5" t="s">
        <v>27</v>
      </c>
      <c r="D224" s="5" t="s">
        <v>28</v>
      </c>
      <c r="E224" s="5" t="s">
        <v>27</v>
      </c>
      <c r="F224" s="5" t="s">
        <v>28</v>
      </c>
      <c r="G224" s="5" t="s">
        <v>29</v>
      </c>
      <c r="H224" s="5" t="s">
        <v>30</v>
      </c>
      <c r="I224" s="5" t="s">
        <v>192</v>
      </c>
      <c r="J224" s="5" t="s">
        <v>193</v>
      </c>
      <c r="K224" s="5" t="s">
        <v>198</v>
      </c>
      <c r="L224" s="5" t="s">
        <v>199</v>
      </c>
      <c r="M224" s="5" t="s">
        <v>200</v>
      </c>
      <c r="N224" s="5" t="s">
        <v>241</v>
      </c>
      <c r="O224" s="5" t="s">
        <v>242</v>
      </c>
      <c r="P224" s="15">
        <v>10978807074</v>
      </c>
      <c r="Q224" s="13">
        <v>1215000000</v>
      </c>
      <c r="R224" s="12">
        <f>810000000+300000000</f>
        <v>1110000000</v>
      </c>
      <c r="S224" s="12">
        <f>2420000000+300000000</f>
        <v>2720000000</v>
      </c>
      <c r="T224" s="12">
        <f>810000000+300000000</f>
        <v>1110000000</v>
      </c>
      <c r="U224" s="12">
        <f>810000000+300000000</f>
        <v>1110000000</v>
      </c>
      <c r="V224" s="12">
        <f>2420000000+300000000</f>
        <v>2720000000</v>
      </c>
      <c r="W224" s="12">
        <v>993807074</v>
      </c>
      <c r="X224" s="12"/>
      <c r="Y224" s="12"/>
      <c r="Z224" s="12">
        <v>0</v>
      </c>
      <c r="AA224" s="12">
        <v>0</v>
      </c>
      <c r="AB224" s="13">
        <v>0</v>
      </c>
      <c r="AC224" s="4">
        <f t="shared" si="3"/>
        <v>10978807074</v>
      </c>
    </row>
    <row r="225" spans="3:29" ht="63.75" x14ac:dyDescent="0.25">
      <c r="C225" s="5" t="s">
        <v>27</v>
      </c>
      <c r="D225" s="5" t="s">
        <v>28</v>
      </c>
      <c r="E225" s="5" t="s">
        <v>27</v>
      </c>
      <c r="F225" s="5" t="s">
        <v>28</v>
      </c>
      <c r="G225" s="5" t="s">
        <v>29</v>
      </c>
      <c r="H225" s="5" t="s">
        <v>30</v>
      </c>
      <c r="I225" s="5" t="s">
        <v>192</v>
      </c>
      <c r="J225" s="5" t="s">
        <v>193</v>
      </c>
      <c r="K225" s="5" t="s">
        <v>198</v>
      </c>
      <c r="L225" s="5" t="s">
        <v>199</v>
      </c>
      <c r="M225" s="5" t="s">
        <v>200</v>
      </c>
      <c r="N225" s="5" t="s">
        <v>243</v>
      </c>
      <c r="O225" s="5" t="s">
        <v>244</v>
      </c>
      <c r="P225" s="15">
        <v>227180614</v>
      </c>
      <c r="Q225" s="13">
        <v>33000000</v>
      </c>
      <c r="R225" s="13">
        <v>22000000</v>
      </c>
      <c r="S225" s="13">
        <v>44000000</v>
      </c>
      <c r="T225" s="13">
        <v>22000000</v>
      </c>
      <c r="U225" s="13">
        <v>22000000</v>
      </c>
      <c r="V225" s="13">
        <v>44000000</v>
      </c>
      <c r="W225" s="13">
        <v>22000000</v>
      </c>
      <c r="X225" s="13">
        <v>18180614</v>
      </c>
      <c r="Y225" s="13"/>
      <c r="Z225" s="13"/>
      <c r="AA225" s="13"/>
      <c r="AB225" s="13"/>
      <c r="AC225" s="4">
        <f t="shared" si="3"/>
        <v>227180614</v>
      </c>
    </row>
    <row r="226" spans="3:29" ht="63.75" x14ac:dyDescent="0.25">
      <c r="C226" s="5" t="s">
        <v>27</v>
      </c>
      <c r="D226" s="5" t="s">
        <v>28</v>
      </c>
      <c r="E226" s="5" t="s">
        <v>27</v>
      </c>
      <c r="F226" s="5" t="s">
        <v>28</v>
      </c>
      <c r="G226" s="5" t="s">
        <v>29</v>
      </c>
      <c r="H226" s="5" t="s">
        <v>30</v>
      </c>
      <c r="I226" s="5" t="s">
        <v>192</v>
      </c>
      <c r="J226" s="5" t="s">
        <v>193</v>
      </c>
      <c r="K226" s="5" t="s">
        <v>198</v>
      </c>
      <c r="L226" s="5" t="s">
        <v>199</v>
      </c>
      <c r="M226" s="5" t="s">
        <v>200</v>
      </c>
      <c r="N226" s="5" t="s">
        <v>245</v>
      </c>
      <c r="O226" s="5" t="s">
        <v>246</v>
      </c>
      <c r="P226" s="15">
        <v>247117837</v>
      </c>
      <c r="Q226" s="13">
        <v>36000000</v>
      </c>
      <c r="R226" s="13">
        <v>24000000</v>
      </c>
      <c r="S226" s="13">
        <v>48000000</v>
      </c>
      <c r="T226" s="13">
        <v>24000000</v>
      </c>
      <c r="U226" s="13">
        <v>24000000</v>
      </c>
      <c r="V226" s="13">
        <v>48000000</v>
      </c>
      <c r="W226" s="13">
        <v>24000000</v>
      </c>
      <c r="X226" s="13">
        <v>19117837</v>
      </c>
      <c r="Y226" s="13"/>
      <c r="Z226" s="13"/>
      <c r="AA226" s="13"/>
      <c r="AB226" s="13"/>
      <c r="AC226" s="4">
        <f t="shared" si="3"/>
        <v>247117837</v>
      </c>
    </row>
    <row r="227" spans="3:29" ht="63.75" x14ac:dyDescent="0.25">
      <c r="C227" s="5" t="s">
        <v>27</v>
      </c>
      <c r="D227" s="5" t="s">
        <v>28</v>
      </c>
      <c r="E227" s="5" t="s">
        <v>27</v>
      </c>
      <c r="F227" s="5" t="s">
        <v>28</v>
      </c>
      <c r="G227" s="5" t="s">
        <v>29</v>
      </c>
      <c r="H227" s="5" t="s">
        <v>30</v>
      </c>
      <c r="I227" s="5" t="s">
        <v>192</v>
      </c>
      <c r="J227" s="5" t="s">
        <v>193</v>
      </c>
      <c r="K227" s="5" t="s">
        <v>198</v>
      </c>
      <c r="L227" s="5" t="s">
        <v>199</v>
      </c>
      <c r="M227" s="5" t="s">
        <v>200</v>
      </c>
      <c r="N227" s="5" t="s">
        <v>247</v>
      </c>
      <c r="O227" s="5" t="s">
        <v>248</v>
      </c>
      <c r="P227" s="15">
        <v>641360262</v>
      </c>
      <c r="Q227" s="13">
        <v>94500000</v>
      </c>
      <c r="R227" s="13">
        <v>63000000</v>
      </c>
      <c r="S227" s="13">
        <v>126000000</v>
      </c>
      <c r="T227" s="13">
        <v>63000000</v>
      </c>
      <c r="U227" s="13">
        <v>63000000</v>
      </c>
      <c r="V227" s="13">
        <v>126000000</v>
      </c>
      <c r="W227" s="13">
        <v>63000000</v>
      </c>
      <c r="X227" s="13">
        <v>42860262</v>
      </c>
      <c r="Y227" s="13"/>
      <c r="Z227" s="13"/>
      <c r="AA227" s="13"/>
      <c r="AB227" s="13"/>
      <c r="AC227" s="4">
        <f t="shared" si="3"/>
        <v>641360262</v>
      </c>
    </row>
    <row r="228" spans="3:29" ht="63.75" x14ac:dyDescent="0.25">
      <c r="C228" s="5" t="s">
        <v>27</v>
      </c>
      <c r="D228" s="5" t="s">
        <v>28</v>
      </c>
      <c r="E228" s="5" t="s">
        <v>27</v>
      </c>
      <c r="F228" s="5" t="s">
        <v>28</v>
      </c>
      <c r="G228" s="5" t="s">
        <v>29</v>
      </c>
      <c r="H228" s="5" t="s">
        <v>30</v>
      </c>
      <c r="I228" s="5" t="s">
        <v>192</v>
      </c>
      <c r="J228" s="5" t="s">
        <v>193</v>
      </c>
      <c r="K228" s="5" t="s">
        <v>198</v>
      </c>
      <c r="L228" s="5" t="s">
        <v>199</v>
      </c>
      <c r="M228" s="5" t="s">
        <v>200</v>
      </c>
      <c r="N228" s="5" t="s">
        <v>249</v>
      </c>
      <c r="O228" s="5" t="s">
        <v>250</v>
      </c>
      <c r="P228" s="15">
        <v>639211003</v>
      </c>
      <c r="Q228" s="13">
        <v>105000000</v>
      </c>
      <c r="R228" s="13">
        <v>70000000</v>
      </c>
      <c r="S228" s="13">
        <v>140000000</v>
      </c>
      <c r="T228" s="13">
        <v>70000000</v>
      </c>
      <c r="U228" s="13">
        <v>70000000</v>
      </c>
      <c r="V228" s="13">
        <v>140000000</v>
      </c>
      <c r="W228" s="13">
        <v>44211003</v>
      </c>
      <c r="X228" s="13"/>
      <c r="Y228" s="13"/>
      <c r="Z228" s="13"/>
      <c r="AA228" s="13"/>
      <c r="AB228" s="13"/>
      <c r="AC228" s="4">
        <f t="shared" si="3"/>
        <v>639211003</v>
      </c>
    </row>
    <row r="229" spans="3:29" ht="63.75" x14ac:dyDescent="0.25">
      <c r="C229" s="5" t="s">
        <v>27</v>
      </c>
      <c r="D229" s="5" t="s">
        <v>28</v>
      </c>
      <c r="E229" s="5" t="s">
        <v>27</v>
      </c>
      <c r="F229" s="5" t="s">
        <v>28</v>
      </c>
      <c r="G229" s="5" t="s">
        <v>29</v>
      </c>
      <c r="H229" s="5" t="s">
        <v>30</v>
      </c>
      <c r="I229" s="5" t="s">
        <v>192</v>
      </c>
      <c r="J229" s="5" t="s">
        <v>193</v>
      </c>
      <c r="K229" s="5" t="s">
        <v>198</v>
      </c>
      <c r="L229" s="5" t="s">
        <v>199</v>
      </c>
      <c r="M229" s="5" t="s">
        <v>200</v>
      </c>
      <c r="N229" s="5" t="s">
        <v>251</v>
      </c>
      <c r="O229" s="5" t="s">
        <v>252</v>
      </c>
      <c r="P229" s="15">
        <v>768791022</v>
      </c>
      <c r="Q229" s="13">
        <v>64000000</v>
      </c>
      <c r="R229" s="13">
        <v>64000000</v>
      </c>
      <c r="S229" s="13">
        <v>64000000</v>
      </c>
      <c r="T229" s="13">
        <v>64000000</v>
      </c>
      <c r="U229" s="13">
        <v>64000000</v>
      </c>
      <c r="V229" s="13">
        <v>64000000</v>
      </c>
      <c r="W229" s="13">
        <v>64000000</v>
      </c>
      <c r="X229" s="13">
        <v>64000000</v>
      </c>
      <c r="Y229" s="13">
        <v>64000000</v>
      </c>
      <c r="Z229" s="13">
        <v>64000000</v>
      </c>
      <c r="AA229" s="13">
        <v>64000000</v>
      </c>
      <c r="AB229" s="13">
        <v>64791022</v>
      </c>
      <c r="AC229" s="4">
        <f t="shared" si="3"/>
        <v>768791022</v>
      </c>
    </row>
    <row r="230" spans="3:29" ht="63.75" x14ac:dyDescent="0.25">
      <c r="C230" s="5" t="s">
        <v>27</v>
      </c>
      <c r="D230" s="5" t="s">
        <v>28</v>
      </c>
      <c r="E230" s="5" t="s">
        <v>27</v>
      </c>
      <c r="F230" s="5" t="s">
        <v>28</v>
      </c>
      <c r="G230" s="5" t="s">
        <v>29</v>
      </c>
      <c r="H230" s="5" t="s">
        <v>30</v>
      </c>
      <c r="I230" s="5" t="s">
        <v>192</v>
      </c>
      <c r="J230" s="5" t="s">
        <v>193</v>
      </c>
      <c r="K230" s="5" t="s">
        <v>198</v>
      </c>
      <c r="L230" s="5" t="s">
        <v>199</v>
      </c>
      <c r="M230" s="5" t="s">
        <v>200</v>
      </c>
      <c r="N230" s="5" t="s">
        <v>253</v>
      </c>
      <c r="O230" s="5" t="s">
        <v>254</v>
      </c>
      <c r="P230" s="15">
        <v>785810994</v>
      </c>
      <c r="Q230" s="13">
        <v>65000000</v>
      </c>
      <c r="R230" s="13">
        <v>65000000</v>
      </c>
      <c r="S230" s="13">
        <v>65000000</v>
      </c>
      <c r="T230" s="13">
        <v>65000000</v>
      </c>
      <c r="U230" s="13">
        <v>65000000</v>
      </c>
      <c r="V230" s="13">
        <v>65000000</v>
      </c>
      <c r="W230" s="13">
        <v>65000000</v>
      </c>
      <c r="X230" s="13">
        <v>65000000</v>
      </c>
      <c r="Y230" s="13">
        <v>65000000</v>
      </c>
      <c r="Z230" s="13">
        <v>65000000</v>
      </c>
      <c r="AA230" s="13">
        <v>65000000</v>
      </c>
      <c r="AB230" s="13">
        <v>70810994</v>
      </c>
      <c r="AC230" s="4">
        <f t="shared" si="3"/>
        <v>785810994</v>
      </c>
    </row>
    <row r="231" spans="3:29" ht="63.75" x14ac:dyDescent="0.25">
      <c r="C231" s="5" t="s">
        <v>27</v>
      </c>
      <c r="D231" s="5" t="s">
        <v>28</v>
      </c>
      <c r="E231" s="5" t="s">
        <v>27</v>
      </c>
      <c r="F231" s="5" t="s">
        <v>28</v>
      </c>
      <c r="G231" s="5" t="s">
        <v>29</v>
      </c>
      <c r="H231" s="5" t="s">
        <v>30</v>
      </c>
      <c r="I231" s="5" t="s">
        <v>192</v>
      </c>
      <c r="J231" s="5" t="s">
        <v>193</v>
      </c>
      <c r="K231" s="5" t="s">
        <v>198</v>
      </c>
      <c r="L231" s="5" t="s">
        <v>199</v>
      </c>
      <c r="M231" s="5" t="s">
        <v>200</v>
      </c>
      <c r="N231" s="5" t="s">
        <v>255</v>
      </c>
      <c r="O231" s="5" t="s">
        <v>256</v>
      </c>
      <c r="P231" s="15">
        <v>74043870000</v>
      </c>
      <c r="Q231" s="13"/>
      <c r="R231" s="12">
        <v>13451303050</v>
      </c>
      <c r="S231" s="12">
        <v>6170322500</v>
      </c>
      <c r="T231" s="12">
        <v>6170322500</v>
      </c>
      <c r="U231" s="12">
        <v>6170322500</v>
      </c>
      <c r="V231" s="12">
        <v>6170322500</v>
      </c>
      <c r="W231" s="12">
        <v>6170322500</v>
      </c>
      <c r="X231" s="12">
        <v>6170322500</v>
      </c>
      <c r="Y231" s="12">
        <v>6170322500</v>
      </c>
      <c r="Z231" s="12">
        <v>6170322500</v>
      </c>
      <c r="AA231" s="12">
        <v>6170322500</v>
      </c>
      <c r="AB231" s="13">
        <v>5059664450</v>
      </c>
      <c r="AC231" s="4">
        <f t="shared" si="3"/>
        <v>74043870000</v>
      </c>
    </row>
    <row r="232" spans="3:29" ht="63.75" x14ac:dyDescent="0.25">
      <c r="C232" s="5" t="s">
        <v>27</v>
      </c>
      <c r="D232" s="5" t="s">
        <v>28</v>
      </c>
      <c r="E232" s="5" t="s">
        <v>27</v>
      </c>
      <c r="F232" s="5" t="s">
        <v>28</v>
      </c>
      <c r="G232" s="5" t="s">
        <v>29</v>
      </c>
      <c r="H232" s="5" t="s">
        <v>30</v>
      </c>
      <c r="I232" s="5" t="s">
        <v>192</v>
      </c>
      <c r="J232" s="5" t="s">
        <v>193</v>
      </c>
      <c r="K232" s="5" t="s">
        <v>198</v>
      </c>
      <c r="L232" s="5" t="s">
        <v>199</v>
      </c>
      <c r="M232" s="5" t="s">
        <v>200</v>
      </c>
      <c r="N232" s="5" t="s">
        <v>257</v>
      </c>
      <c r="O232" s="5" t="s">
        <v>258</v>
      </c>
      <c r="P232" s="15">
        <v>89754109000</v>
      </c>
      <c r="Q232" s="13"/>
      <c r="R232" s="12">
        <v>16305329801</v>
      </c>
      <c r="S232" s="12">
        <v>7479509083</v>
      </c>
      <c r="T232" s="12">
        <v>7479509083</v>
      </c>
      <c r="U232" s="12">
        <v>7479509083</v>
      </c>
      <c r="V232" s="12">
        <v>7479509083</v>
      </c>
      <c r="W232" s="12">
        <v>7479509083</v>
      </c>
      <c r="X232" s="12">
        <v>7479509083</v>
      </c>
      <c r="Y232" s="12">
        <v>7479509083</v>
      </c>
      <c r="Z232" s="12">
        <v>7479509083</v>
      </c>
      <c r="AA232" s="12">
        <v>7479509083</v>
      </c>
      <c r="AB232" s="13">
        <v>6133197452</v>
      </c>
      <c r="AC232" s="4">
        <f t="shared" si="3"/>
        <v>89754109000</v>
      </c>
    </row>
    <row r="233" spans="3:29" ht="63.75" x14ac:dyDescent="0.25">
      <c r="C233" s="5" t="s">
        <v>27</v>
      </c>
      <c r="D233" s="5" t="s">
        <v>28</v>
      </c>
      <c r="E233" s="5" t="s">
        <v>27</v>
      </c>
      <c r="F233" s="5" t="s">
        <v>28</v>
      </c>
      <c r="G233" s="5" t="s">
        <v>29</v>
      </c>
      <c r="H233" s="5" t="s">
        <v>30</v>
      </c>
      <c r="I233" s="5" t="s">
        <v>192</v>
      </c>
      <c r="J233" s="5" t="s">
        <v>193</v>
      </c>
      <c r="K233" s="5" t="s">
        <v>198</v>
      </c>
      <c r="L233" s="5" t="s">
        <v>199</v>
      </c>
      <c r="M233" s="5" t="s">
        <v>200</v>
      </c>
      <c r="N233" s="5" t="s">
        <v>259</v>
      </c>
      <c r="O233" s="5" t="s">
        <v>260</v>
      </c>
      <c r="P233" s="15">
        <v>50000000</v>
      </c>
      <c r="Q233" s="13"/>
      <c r="R233" s="12">
        <v>9083332</v>
      </c>
      <c r="S233" s="12">
        <v>4166666</v>
      </c>
      <c r="T233" s="12">
        <v>4166666</v>
      </c>
      <c r="U233" s="12">
        <v>4166666</v>
      </c>
      <c r="V233" s="12">
        <v>4166666</v>
      </c>
      <c r="W233" s="12">
        <v>4166666</v>
      </c>
      <c r="X233" s="12">
        <v>4166666</v>
      </c>
      <c r="Y233" s="12">
        <v>4166666</v>
      </c>
      <c r="Z233" s="12">
        <v>4166666</v>
      </c>
      <c r="AA233" s="12">
        <v>4166666</v>
      </c>
      <c r="AB233" s="13">
        <v>3416674</v>
      </c>
      <c r="AC233" s="4">
        <f t="shared" si="3"/>
        <v>50000000</v>
      </c>
    </row>
    <row r="234" spans="3:29" ht="63.75" x14ac:dyDescent="0.25">
      <c r="C234" s="5" t="s">
        <v>27</v>
      </c>
      <c r="D234" s="5" t="s">
        <v>28</v>
      </c>
      <c r="E234" s="5" t="s">
        <v>27</v>
      </c>
      <c r="F234" s="5" t="s">
        <v>28</v>
      </c>
      <c r="G234" s="5" t="s">
        <v>29</v>
      </c>
      <c r="H234" s="5" t="s">
        <v>30</v>
      </c>
      <c r="I234" s="5" t="s">
        <v>192</v>
      </c>
      <c r="J234" s="5" t="s">
        <v>193</v>
      </c>
      <c r="K234" s="5" t="s">
        <v>198</v>
      </c>
      <c r="L234" s="5" t="s">
        <v>199</v>
      </c>
      <c r="M234" s="5" t="s">
        <v>200</v>
      </c>
      <c r="N234" s="5" t="s">
        <v>261</v>
      </c>
      <c r="O234" s="5" t="s">
        <v>262</v>
      </c>
      <c r="P234" s="15">
        <v>31000000</v>
      </c>
      <c r="Q234" s="13"/>
      <c r="R234" s="12">
        <v>5631666</v>
      </c>
      <c r="S234" s="12">
        <v>2583333</v>
      </c>
      <c r="T234" s="12">
        <v>2583333</v>
      </c>
      <c r="U234" s="12">
        <v>2583333</v>
      </c>
      <c r="V234" s="12">
        <v>2583333</v>
      </c>
      <c r="W234" s="12">
        <v>2583333</v>
      </c>
      <c r="X234" s="12">
        <v>2583333</v>
      </c>
      <c r="Y234" s="12">
        <v>2583333</v>
      </c>
      <c r="Z234" s="12">
        <v>2583333</v>
      </c>
      <c r="AA234" s="12">
        <v>2583333</v>
      </c>
      <c r="AB234" s="13">
        <v>2118337</v>
      </c>
      <c r="AC234" s="4">
        <f t="shared" si="3"/>
        <v>31000000</v>
      </c>
    </row>
    <row r="235" spans="3:29" ht="63.75" x14ac:dyDescent="0.25">
      <c r="C235" s="5" t="s">
        <v>27</v>
      </c>
      <c r="D235" s="5" t="s">
        <v>28</v>
      </c>
      <c r="E235" s="5" t="s">
        <v>27</v>
      </c>
      <c r="F235" s="5" t="s">
        <v>28</v>
      </c>
      <c r="G235" s="5" t="s">
        <v>29</v>
      </c>
      <c r="H235" s="5" t="s">
        <v>30</v>
      </c>
      <c r="I235" s="5" t="s">
        <v>192</v>
      </c>
      <c r="J235" s="5" t="s">
        <v>193</v>
      </c>
      <c r="K235" s="5" t="s">
        <v>198</v>
      </c>
      <c r="L235" s="5" t="s">
        <v>199</v>
      </c>
      <c r="M235" s="5" t="s">
        <v>263</v>
      </c>
      <c r="N235" s="5" t="s">
        <v>264</v>
      </c>
      <c r="O235" s="5" t="s">
        <v>265</v>
      </c>
      <c r="P235" s="15">
        <v>25000000</v>
      </c>
      <c r="Q235" s="13"/>
      <c r="R235" s="13">
        <v>25000000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4">
        <f t="shared" si="3"/>
        <v>25000000</v>
      </c>
    </row>
    <row r="236" spans="3:29" ht="63.75" x14ac:dyDescent="0.25">
      <c r="C236" s="5" t="s">
        <v>27</v>
      </c>
      <c r="D236" s="5" t="s">
        <v>28</v>
      </c>
      <c r="E236" s="5" t="s">
        <v>27</v>
      </c>
      <c r="F236" s="5" t="s">
        <v>28</v>
      </c>
      <c r="G236" s="5" t="s">
        <v>29</v>
      </c>
      <c r="H236" s="5" t="s">
        <v>30</v>
      </c>
      <c r="I236" s="5" t="s">
        <v>192</v>
      </c>
      <c r="J236" s="5" t="s">
        <v>193</v>
      </c>
      <c r="K236" s="5" t="s">
        <v>198</v>
      </c>
      <c r="L236" s="5" t="s">
        <v>199</v>
      </c>
      <c r="M236" s="5" t="s">
        <v>263</v>
      </c>
      <c r="N236" s="5" t="s">
        <v>266</v>
      </c>
      <c r="O236" s="5" t="s">
        <v>267</v>
      </c>
      <c r="P236" s="15">
        <v>2397960000</v>
      </c>
      <c r="Q236" s="13"/>
      <c r="R236" s="13">
        <v>199830000</v>
      </c>
      <c r="S236" s="13">
        <v>199830000</v>
      </c>
      <c r="T236" s="13">
        <v>199830000</v>
      </c>
      <c r="U236" s="13">
        <v>199830000</v>
      </c>
      <c r="V236" s="13">
        <v>199830000</v>
      </c>
      <c r="W236" s="13">
        <v>199830000</v>
      </c>
      <c r="X236" s="13">
        <v>199830000</v>
      </c>
      <c r="Y236" s="13">
        <v>199830000</v>
      </c>
      <c r="Z236" s="13">
        <v>199830000</v>
      </c>
      <c r="AA236" s="13">
        <v>199830000</v>
      </c>
      <c r="AB236" s="13">
        <v>399660000</v>
      </c>
      <c r="AC236" s="4">
        <f t="shared" si="3"/>
        <v>2397960000</v>
      </c>
    </row>
    <row r="237" spans="3:29" ht="63.75" x14ac:dyDescent="0.25">
      <c r="C237" s="5" t="s">
        <v>27</v>
      </c>
      <c r="D237" s="5" t="s">
        <v>28</v>
      </c>
      <c r="E237" s="5" t="s">
        <v>27</v>
      </c>
      <c r="F237" s="5" t="s">
        <v>28</v>
      </c>
      <c r="G237" s="5" t="s">
        <v>29</v>
      </c>
      <c r="H237" s="5" t="s">
        <v>30</v>
      </c>
      <c r="I237" s="5" t="s">
        <v>192</v>
      </c>
      <c r="J237" s="5" t="s">
        <v>193</v>
      </c>
      <c r="K237" s="5" t="s">
        <v>268</v>
      </c>
      <c r="L237" s="5" t="s">
        <v>269</v>
      </c>
      <c r="M237" s="5" t="s">
        <v>343</v>
      </c>
      <c r="N237" s="5" t="s">
        <v>270</v>
      </c>
      <c r="O237" s="5" t="s">
        <v>271</v>
      </c>
      <c r="P237" s="15">
        <v>31524300</v>
      </c>
      <c r="Q237" s="13"/>
      <c r="R237" s="13"/>
      <c r="S237" s="13"/>
      <c r="T237" s="13"/>
      <c r="U237" s="13">
        <v>31524300</v>
      </c>
      <c r="V237" s="13"/>
      <c r="W237" s="13"/>
      <c r="X237" s="13"/>
      <c r="Y237" s="13"/>
      <c r="Z237" s="13"/>
      <c r="AA237" s="13"/>
      <c r="AB237" s="13"/>
      <c r="AC237" s="4">
        <f t="shared" si="3"/>
        <v>31524300</v>
      </c>
    </row>
    <row r="238" spans="3:29" ht="63.75" x14ac:dyDescent="0.25">
      <c r="C238" s="5" t="s">
        <v>27</v>
      </c>
      <c r="D238" s="5" t="s">
        <v>28</v>
      </c>
      <c r="E238" s="5" t="s">
        <v>27</v>
      </c>
      <c r="F238" s="5" t="s">
        <v>28</v>
      </c>
      <c r="G238" s="5" t="s">
        <v>29</v>
      </c>
      <c r="H238" s="5" t="s">
        <v>30</v>
      </c>
      <c r="I238" s="5" t="s">
        <v>192</v>
      </c>
      <c r="J238" s="5" t="s">
        <v>193</v>
      </c>
      <c r="K238" s="5" t="s">
        <v>268</v>
      </c>
      <c r="L238" s="5" t="s">
        <v>269</v>
      </c>
      <c r="M238" s="5" t="s">
        <v>272</v>
      </c>
      <c r="N238" s="5" t="s">
        <v>273</v>
      </c>
      <c r="O238" s="5" t="s">
        <v>274</v>
      </c>
      <c r="P238" s="15">
        <v>7585000</v>
      </c>
      <c r="Q238" s="13"/>
      <c r="R238" s="13"/>
      <c r="S238" s="13"/>
      <c r="T238" s="13"/>
      <c r="U238" s="13">
        <v>7585000</v>
      </c>
      <c r="V238" s="13"/>
      <c r="W238" s="13"/>
      <c r="X238" s="13"/>
      <c r="Y238" s="13"/>
      <c r="Z238" s="13"/>
      <c r="AA238" s="13"/>
      <c r="AB238" s="13"/>
      <c r="AC238" s="4">
        <f t="shared" si="3"/>
        <v>7585000</v>
      </c>
    </row>
    <row r="239" spans="3:29" ht="63.75" x14ac:dyDescent="0.25">
      <c r="C239" s="5" t="s">
        <v>27</v>
      </c>
      <c r="D239" s="5" t="s">
        <v>28</v>
      </c>
      <c r="E239" s="5" t="s">
        <v>27</v>
      </c>
      <c r="F239" s="5" t="s">
        <v>28</v>
      </c>
      <c r="G239" s="5" t="s">
        <v>29</v>
      </c>
      <c r="H239" s="5" t="s">
        <v>30</v>
      </c>
      <c r="I239" s="5" t="s">
        <v>192</v>
      </c>
      <c r="J239" s="5" t="s">
        <v>193</v>
      </c>
      <c r="K239" s="5" t="s">
        <v>268</v>
      </c>
      <c r="L239" s="5" t="s">
        <v>269</v>
      </c>
      <c r="M239" s="5" t="s">
        <v>272</v>
      </c>
      <c r="N239" s="5" t="s">
        <v>61</v>
      </c>
      <c r="O239" s="5" t="s">
        <v>62</v>
      </c>
      <c r="P239" s="15">
        <v>365219500</v>
      </c>
      <c r="Q239" s="13"/>
      <c r="R239" s="13"/>
      <c r="S239" s="13">
        <v>66756000</v>
      </c>
      <c r="T239" s="13">
        <v>0</v>
      </c>
      <c r="U239" s="13">
        <v>4500000</v>
      </c>
      <c r="V239" s="13"/>
      <c r="W239" s="13">
        <v>129396000</v>
      </c>
      <c r="X239" s="13">
        <v>4500000</v>
      </c>
      <c r="Y239" s="13">
        <v>141147500</v>
      </c>
      <c r="Z239" s="13">
        <v>18920000</v>
      </c>
      <c r="AA239" s="13"/>
      <c r="AB239" s="13"/>
      <c r="AC239" s="4">
        <f t="shared" si="3"/>
        <v>365219500</v>
      </c>
    </row>
    <row r="240" spans="3:29" ht="63.75" x14ac:dyDescent="0.25">
      <c r="C240" s="5" t="s">
        <v>27</v>
      </c>
      <c r="D240" s="5" t="s">
        <v>28</v>
      </c>
      <c r="E240" s="5" t="s">
        <v>27</v>
      </c>
      <c r="F240" s="5" t="s">
        <v>28</v>
      </c>
      <c r="G240" s="5" t="s">
        <v>29</v>
      </c>
      <c r="H240" s="5" t="s">
        <v>30</v>
      </c>
      <c r="I240" s="5" t="s">
        <v>192</v>
      </c>
      <c r="J240" s="5" t="s">
        <v>193</v>
      </c>
      <c r="K240" s="5" t="s">
        <v>268</v>
      </c>
      <c r="L240" s="5" t="s">
        <v>269</v>
      </c>
      <c r="M240" s="5" t="s">
        <v>272</v>
      </c>
      <c r="N240" s="5" t="s">
        <v>174</v>
      </c>
      <c r="O240" s="5" t="s">
        <v>175</v>
      </c>
      <c r="P240" s="15">
        <v>91338500</v>
      </c>
      <c r="Q240" s="13"/>
      <c r="R240" s="13"/>
      <c r="S240" s="13">
        <v>91338500</v>
      </c>
      <c r="T240" s="13">
        <v>0</v>
      </c>
      <c r="U240" s="13"/>
      <c r="V240" s="13"/>
      <c r="W240" s="13">
        <v>0</v>
      </c>
      <c r="X240" s="13"/>
      <c r="Y240" s="13"/>
      <c r="Z240" s="13"/>
      <c r="AA240" s="13"/>
      <c r="AB240" s="13"/>
      <c r="AC240" s="4">
        <f t="shared" si="3"/>
        <v>91338500</v>
      </c>
    </row>
    <row r="241" spans="3:29" ht="63.75" x14ac:dyDescent="0.25">
      <c r="C241" s="5" t="s">
        <v>27</v>
      </c>
      <c r="D241" s="5" t="s">
        <v>28</v>
      </c>
      <c r="E241" s="5" t="s">
        <v>27</v>
      </c>
      <c r="F241" s="5" t="s">
        <v>28</v>
      </c>
      <c r="G241" s="5" t="s">
        <v>29</v>
      </c>
      <c r="H241" s="5" t="s">
        <v>30</v>
      </c>
      <c r="I241" s="5" t="s">
        <v>192</v>
      </c>
      <c r="J241" s="5" t="s">
        <v>193</v>
      </c>
      <c r="K241" s="5" t="s">
        <v>268</v>
      </c>
      <c r="L241" s="5" t="s">
        <v>269</v>
      </c>
      <c r="M241" s="5" t="s">
        <v>272</v>
      </c>
      <c r="N241" s="5" t="s">
        <v>157</v>
      </c>
      <c r="O241" s="5" t="s">
        <v>158</v>
      </c>
      <c r="P241" s="15">
        <v>170385800</v>
      </c>
      <c r="Q241" s="13"/>
      <c r="R241" s="13"/>
      <c r="S241" s="15">
        <v>170385800</v>
      </c>
      <c r="T241" s="13">
        <v>0</v>
      </c>
      <c r="U241" s="13"/>
      <c r="V241" s="13"/>
      <c r="W241" s="13">
        <v>0</v>
      </c>
      <c r="X241" s="13"/>
      <c r="Y241" s="13"/>
      <c r="Z241" s="13"/>
      <c r="AA241" s="13"/>
      <c r="AB241" s="13"/>
      <c r="AC241" s="4">
        <f t="shared" si="3"/>
        <v>170385800</v>
      </c>
    </row>
    <row r="242" spans="3:29" ht="63.75" x14ac:dyDescent="0.25">
      <c r="C242" s="5" t="s">
        <v>27</v>
      </c>
      <c r="D242" s="5" t="s">
        <v>28</v>
      </c>
      <c r="E242" s="5" t="s">
        <v>27</v>
      </c>
      <c r="F242" s="5" t="s">
        <v>28</v>
      </c>
      <c r="G242" s="5" t="s">
        <v>29</v>
      </c>
      <c r="H242" s="5" t="s">
        <v>30</v>
      </c>
      <c r="I242" s="5" t="s">
        <v>192</v>
      </c>
      <c r="J242" s="5" t="s">
        <v>193</v>
      </c>
      <c r="K242" s="5" t="s">
        <v>268</v>
      </c>
      <c r="L242" s="5" t="s">
        <v>269</v>
      </c>
      <c r="M242" s="5" t="s">
        <v>272</v>
      </c>
      <c r="N242" s="5" t="s">
        <v>99</v>
      </c>
      <c r="O242" s="5" t="s">
        <v>100</v>
      </c>
      <c r="P242" s="15">
        <v>22813600</v>
      </c>
      <c r="Q242" s="13"/>
      <c r="R242" s="13"/>
      <c r="S242" s="13"/>
      <c r="T242" s="13"/>
      <c r="U242" s="13">
        <v>22813600</v>
      </c>
      <c r="V242" s="13"/>
      <c r="W242" s="13"/>
      <c r="X242" s="13"/>
      <c r="Y242" s="13"/>
      <c r="Z242" s="13"/>
      <c r="AA242" s="13"/>
      <c r="AB242" s="13"/>
      <c r="AC242" s="4">
        <f t="shared" si="3"/>
        <v>22813600</v>
      </c>
    </row>
    <row r="243" spans="3:29" ht="63.75" x14ac:dyDescent="0.25">
      <c r="C243" s="5" t="s">
        <v>27</v>
      </c>
      <c r="D243" s="5" t="s">
        <v>28</v>
      </c>
      <c r="E243" s="5" t="s">
        <v>27</v>
      </c>
      <c r="F243" s="5" t="s">
        <v>28</v>
      </c>
      <c r="G243" s="5" t="s">
        <v>29</v>
      </c>
      <c r="H243" s="5" t="s">
        <v>30</v>
      </c>
      <c r="I243" s="5" t="s">
        <v>192</v>
      </c>
      <c r="J243" s="5" t="s">
        <v>193</v>
      </c>
      <c r="K243" s="5" t="s">
        <v>268</v>
      </c>
      <c r="L243" s="5" t="s">
        <v>269</v>
      </c>
      <c r="M243" s="5" t="s">
        <v>272</v>
      </c>
      <c r="N243" s="5" t="s">
        <v>275</v>
      </c>
      <c r="O243" s="5" t="s">
        <v>276</v>
      </c>
      <c r="P243" s="15">
        <v>41312700</v>
      </c>
      <c r="Q243" s="13"/>
      <c r="R243" s="13"/>
      <c r="S243" s="13"/>
      <c r="T243" s="13">
        <v>41312700</v>
      </c>
      <c r="U243" s="13"/>
      <c r="V243" s="13">
        <v>0</v>
      </c>
      <c r="W243" s="13"/>
      <c r="X243" s="13"/>
      <c r="Y243" s="13"/>
      <c r="Z243" s="13"/>
      <c r="AA243" s="13"/>
      <c r="AB243" s="13"/>
      <c r="AC243" s="4">
        <f t="shared" si="3"/>
        <v>41312700</v>
      </c>
    </row>
    <row r="244" spans="3:29" ht="63.75" x14ac:dyDescent="0.25">
      <c r="C244" s="5" t="s">
        <v>27</v>
      </c>
      <c r="D244" s="5" t="s">
        <v>28</v>
      </c>
      <c r="E244" s="5" t="s">
        <v>27</v>
      </c>
      <c r="F244" s="5" t="s">
        <v>28</v>
      </c>
      <c r="G244" s="5" t="s">
        <v>29</v>
      </c>
      <c r="H244" s="5" t="s">
        <v>30</v>
      </c>
      <c r="I244" s="5" t="s">
        <v>192</v>
      </c>
      <c r="J244" s="5" t="s">
        <v>193</v>
      </c>
      <c r="K244" s="5" t="s">
        <v>268</v>
      </c>
      <c r="L244" s="5" t="s">
        <v>269</v>
      </c>
      <c r="M244" s="5" t="s">
        <v>272</v>
      </c>
      <c r="N244" s="5" t="s">
        <v>277</v>
      </c>
      <c r="O244" s="5" t="s">
        <v>278</v>
      </c>
      <c r="P244" s="15">
        <v>11498200</v>
      </c>
      <c r="Q244" s="13"/>
      <c r="R244" s="13"/>
      <c r="S244" s="13"/>
      <c r="T244" s="13">
        <v>11498200</v>
      </c>
      <c r="U244" s="13"/>
      <c r="V244" s="13">
        <v>0</v>
      </c>
      <c r="W244" s="13"/>
      <c r="X244" s="13"/>
      <c r="Y244" s="13"/>
      <c r="Z244" s="13"/>
      <c r="AA244" s="13"/>
      <c r="AB244" s="13"/>
      <c r="AC244" s="4">
        <f t="shared" si="3"/>
        <v>11498200</v>
      </c>
    </row>
    <row r="245" spans="3:29" ht="63.75" x14ac:dyDescent="0.25">
      <c r="C245" s="5" t="s">
        <v>27</v>
      </c>
      <c r="D245" s="5" t="s">
        <v>28</v>
      </c>
      <c r="E245" s="5" t="s">
        <v>27</v>
      </c>
      <c r="F245" s="5" t="s">
        <v>28</v>
      </c>
      <c r="G245" s="5" t="s">
        <v>29</v>
      </c>
      <c r="H245" s="5" t="s">
        <v>30</v>
      </c>
      <c r="I245" s="5" t="s">
        <v>192</v>
      </c>
      <c r="J245" s="5" t="s">
        <v>193</v>
      </c>
      <c r="K245" s="5" t="s">
        <v>268</v>
      </c>
      <c r="L245" s="5" t="s">
        <v>269</v>
      </c>
      <c r="M245" s="5" t="s">
        <v>272</v>
      </c>
      <c r="N245" s="5" t="s">
        <v>279</v>
      </c>
      <c r="O245" s="5" t="s">
        <v>280</v>
      </c>
      <c r="P245" s="15">
        <v>52374900</v>
      </c>
      <c r="Q245" s="13"/>
      <c r="R245" s="13"/>
      <c r="S245" s="13"/>
      <c r="T245" s="13">
        <v>52374900</v>
      </c>
      <c r="U245" s="13"/>
      <c r="V245" s="13"/>
      <c r="W245" s="13"/>
      <c r="X245" s="13"/>
      <c r="Y245" s="13"/>
      <c r="Z245" s="13"/>
      <c r="AA245" s="13"/>
      <c r="AB245" s="13"/>
      <c r="AC245" s="4">
        <f t="shared" si="3"/>
        <v>52374900</v>
      </c>
    </row>
    <row r="246" spans="3:29" ht="63.75" x14ac:dyDescent="0.25">
      <c r="C246" s="5" t="s">
        <v>27</v>
      </c>
      <c r="D246" s="5" t="s">
        <v>28</v>
      </c>
      <c r="E246" s="5" t="s">
        <v>27</v>
      </c>
      <c r="F246" s="5" t="s">
        <v>28</v>
      </c>
      <c r="G246" s="5" t="s">
        <v>29</v>
      </c>
      <c r="H246" s="5" t="s">
        <v>30</v>
      </c>
      <c r="I246" s="5" t="s">
        <v>192</v>
      </c>
      <c r="J246" s="5" t="s">
        <v>193</v>
      </c>
      <c r="K246" s="5" t="s">
        <v>268</v>
      </c>
      <c r="L246" s="5" t="s">
        <v>269</v>
      </c>
      <c r="M246" s="5" t="s">
        <v>281</v>
      </c>
      <c r="N246" s="5" t="s">
        <v>101</v>
      </c>
      <c r="O246" s="5" t="s">
        <v>102</v>
      </c>
      <c r="P246" s="15">
        <v>46800000</v>
      </c>
      <c r="Q246" s="13"/>
      <c r="R246" s="13"/>
      <c r="S246" s="13"/>
      <c r="T246" s="13"/>
      <c r="U246" s="13"/>
      <c r="V246" s="13">
        <v>39600000</v>
      </c>
      <c r="W246" s="13"/>
      <c r="X246" s="13"/>
      <c r="Y246" s="13"/>
      <c r="Z246" s="13">
        <v>7200000</v>
      </c>
      <c r="AA246" s="13"/>
      <c r="AB246" s="13"/>
      <c r="AC246" s="4">
        <f t="shared" si="3"/>
        <v>46800000</v>
      </c>
    </row>
    <row r="247" spans="3:29" ht="63.75" x14ac:dyDescent="0.25">
      <c r="C247" s="5" t="s">
        <v>27</v>
      </c>
      <c r="D247" s="5" t="s">
        <v>28</v>
      </c>
      <c r="E247" s="5" t="s">
        <v>27</v>
      </c>
      <c r="F247" s="5" t="s">
        <v>28</v>
      </c>
      <c r="G247" s="5" t="s">
        <v>29</v>
      </c>
      <c r="H247" s="5" t="s">
        <v>30</v>
      </c>
      <c r="I247" s="5" t="s">
        <v>192</v>
      </c>
      <c r="J247" s="5" t="s">
        <v>193</v>
      </c>
      <c r="K247" s="5" t="s">
        <v>268</v>
      </c>
      <c r="L247" s="5" t="s">
        <v>269</v>
      </c>
      <c r="M247" s="5" t="s">
        <v>281</v>
      </c>
      <c r="N247" s="5" t="s">
        <v>282</v>
      </c>
      <c r="O247" s="5" t="s">
        <v>283</v>
      </c>
      <c r="P247" s="15">
        <v>6195000</v>
      </c>
      <c r="Q247" s="13"/>
      <c r="R247" s="13"/>
      <c r="S247" s="13"/>
      <c r="T247" s="13"/>
      <c r="U247" s="13"/>
      <c r="V247" s="13">
        <v>6195000</v>
      </c>
      <c r="W247" s="13"/>
      <c r="X247" s="13"/>
      <c r="Y247" s="13"/>
      <c r="Z247" s="13"/>
      <c r="AA247" s="13"/>
      <c r="AB247" s="13"/>
      <c r="AC247" s="4">
        <f t="shared" ref="AC247:AC285" si="4">Q247+R247+S247+T247+U247+V247+W247+X247+Y247+Z247+AA247+AB247</f>
        <v>6195000</v>
      </c>
    </row>
    <row r="248" spans="3:29" ht="63.75" x14ac:dyDescent="0.25">
      <c r="C248" s="5" t="s">
        <v>27</v>
      </c>
      <c r="D248" s="5" t="s">
        <v>28</v>
      </c>
      <c r="E248" s="5" t="s">
        <v>27</v>
      </c>
      <c r="F248" s="5" t="s">
        <v>28</v>
      </c>
      <c r="G248" s="5" t="s">
        <v>29</v>
      </c>
      <c r="H248" s="5" t="s">
        <v>30</v>
      </c>
      <c r="I248" s="5" t="s">
        <v>192</v>
      </c>
      <c r="J248" s="5" t="s">
        <v>193</v>
      </c>
      <c r="K248" s="5" t="s">
        <v>268</v>
      </c>
      <c r="L248" s="5" t="s">
        <v>269</v>
      </c>
      <c r="M248" s="22" t="s">
        <v>284</v>
      </c>
      <c r="N248" s="22" t="s">
        <v>83</v>
      </c>
      <c r="O248" s="22" t="s">
        <v>84</v>
      </c>
      <c r="P248" s="15">
        <v>156040000</v>
      </c>
      <c r="Q248" s="13"/>
      <c r="R248" s="13">
        <v>91926000</v>
      </c>
      <c r="S248" s="13"/>
      <c r="T248" s="21">
        <v>64114000</v>
      </c>
      <c r="U248" s="13"/>
      <c r="V248" s="21">
        <v>0</v>
      </c>
      <c r="W248" s="13"/>
      <c r="X248" s="21">
        <v>0</v>
      </c>
      <c r="Y248" s="13"/>
      <c r="Z248" s="13"/>
      <c r="AA248" s="13"/>
      <c r="AB248" s="13">
        <v>0</v>
      </c>
      <c r="AC248" s="4">
        <f t="shared" si="4"/>
        <v>156040000</v>
      </c>
    </row>
    <row r="249" spans="3:29" ht="63.75" x14ac:dyDescent="0.25">
      <c r="C249" s="5" t="s">
        <v>27</v>
      </c>
      <c r="D249" s="5" t="s">
        <v>28</v>
      </c>
      <c r="E249" s="5" t="s">
        <v>27</v>
      </c>
      <c r="F249" s="5" t="s">
        <v>28</v>
      </c>
      <c r="G249" s="5" t="s">
        <v>29</v>
      </c>
      <c r="H249" s="5" t="s">
        <v>30</v>
      </c>
      <c r="I249" s="5" t="s">
        <v>192</v>
      </c>
      <c r="J249" s="5" t="s">
        <v>193</v>
      </c>
      <c r="K249" s="5" t="s">
        <v>268</v>
      </c>
      <c r="L249" s="5" t="s">
        <v>269</v>
      </c>
      <c r="M249" s="5" t="s">
        <v>284</v>
      </c>
      <c r="N249" s="5" t="s">
        <v>148</v>
      </c>
      <c r="O249" s="5" t="s">
        <v>149</v>
      </c>
      <c r="P249" s="15">
        <v>46556000</v>
      </c>
      <c r="Q249" s="13"/>
      <c r="R249" s="13">
        <v>8400000</v>
      </c>
      <c r="S249" s="13">
        <v>4970000</v>
      </c>
      <c r="T249" s="13">
        <v>8100000</v>
      </c>
      <c r="U249" s="13">
        <v>12688400</v>
      </c>
      <c r="V249" s="13">
        <v>5370000</v>
      </c>
      <c r="W249" s="13">
        <v>3991200</v>
      </c>
      <c r="X249" s="13">
        <v>3036400</v>
      </c>
      <c r="Y249" s="13"/>
      <c r="Z249" s="13"/>
      <c r="AA249" s="13"/>
      <c r="AB249" s="13"/>
      <c r="AC249" s="4">
        <f t="shared" si="4"/>
        <v>46556000</v>
      </c>
    </row>
    <row r="250" spans="3:29" ht="63.75" x14ac:dyDescent="0.25">
      <c r="C250" s="5" t="s">
        <v>27</v>
      </c>
      <c r="D250" s="5" t="s">
        <v>28</v>
      </c>
      <c r="E250" s="5" t="s">
        <v>27</v>
      </c>
      <c r="F250" s="5" t="s">
        <v>28</v>
      </c>
      <c r="G250" s="5" t="s">
        <v>29</v>
      </c>
      <c r="H250" s="5" t="s">
        <v>30</v>
      </c>
      <c r="I250" s="5" t="s">
        <v>192</v>
      </c>
      <c r="J250" s="5" t="s">
        <v>193</v>
      </c>
      <c r="K250" s="5" t="s">
        <v>285</v>
      </c>
      <c r="L250" s="5" t="s">
        <v>286</v>
      </c>
      <c r="M250" s="5" t="s">
        <v>287</v>
      </c>
      <c r="N250" s="5" t="s">
        <v>38</v>
      </c>
      <c r="O250" s="5" t="s">
        <v>39</v>
      </c>
      <c r="P250" s="15">
        <v>288912900</v>
      </c>
      <c r="Q250" s="13"/>
      <c r="R250" s="13"/>
      <c r="S250" s="13"/>
      <c r="T250" s="13">
        <v>288912900</v>
      </c>
      <c r="U250" s="13"/>
      <c r="V250" s="13">
        <v>0</v>
      </c>
      <c r="W250" s="13"/>
      <c r="X250" s="13"/>
      <c r="Y250" s="13"/>
      <c r="Z250" s="13"/>
      <c r="AA250" s="13"/>
      <c r="AB250" s="13"/>
      <c r="AC250" s="4">
        <f t="shared" si="4"/>
        <v>288912900</v>
      </c>
    </row>
    <row r="251" spans="3:29" ht="63.75" x14ac:dyDescent="0.25">
      <c r="C251" s="5" t="s">
        <v>27</v>
      </c>
      <c r="D251" s="5" t="s">
        <v>28</v>
      </c>
      <c r="E251" s="5" t="s">
        <v>27</v>
      </c>
      <c r="F251" s="5" t="s">
        <v>28</v>
      </c>
      <c r="G251" s="5" t="s">
        <v>29</v>
      </c>
      <c r="H251" s="5" t="s">
        <v>30</v>
      </c>
      <c r="I251" s="5" t="s">
        <v>192</v>
      </c>
      <c r="J251" s="5" t="s">
        <v>193</v>
      </c>
      <c r="K251" s="5" t="s">
        <v>285</v>
      </c>
      <c r="L251" s="5" t="s">
        <v>286</v>
      </c>
      <c r="M251" s="5" t="s">
        <v>287</v>
      </c>
      <c r="N251" s="5" t="s">
        <v>40</v>
      </c>
      <c r="O251" s="5" t="s">
        <v>41</v>
      </c>
      <c r="P251" s="15">
        <v>0</v>
      </c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4">
        <f t="shared" si="4"/>
        <v>0</v>
      </c>
    </row>
    <row r="252" spans="3:29" ht="63.75" x14ac:dyDescent="0.25">
      <c r="C252" s="5" t="s">
        <v>27</v>
      </c>
      <c r="D252" s="5" t="s">
        <v>28</v>
      </c>
      <c r="E252" s="5" t="s">
        <v>27</v>
      </c>
      <c r="F252" s="5" t="s">
        <v>28</v>
      </c>
      <c r="G252" s="5" t="s">
        <v>29</v>
      </c>
      <c r="H252" s="5" t="s">
        <v>30</v>
      </c>
      <c r="I252" s="5" t="s">
        <v>192</v>
      </c>
      <c r="J252" s="5" t="s">
        <v>193</v>
      </c>
      <c r="K252" s="5" t="s">
        <v>285</v>
      </c>
      <c r="L252" s="5" t="s">
        <v>286</v>
      </c>
      <c r="M252" s="5" t="s">
        <v>287</v>
      </c>
      <c r="N252" s="5" t="s">
        <v>42</v>
      </c>
      <c r="O252" s="5" t="s">
        <v>43</v>
      </c>
      <c r="P252" s="15">
        <v>0</v>
      </c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4">
        <f t="shared" si="4"/>
        <v>0</v>
      </c>
    </row>
    <row r="253" spans="3:29" ht="63.75" x14ac:dyDescent="0.25">
      <c r="C253" s="5" t="s">
        <v>27</v>
      </c>
      <c r="D253" s="5" t="s">
        <v>28</v>
      </c>
      <c r="E253" s="5" t="s">
        <v>27</v>
      </c>
      <c r="F253" s="5" t="s">
        <v>28</v>
      </c>
      <c r="G253" s="5" t="s">
        <v>29</v>
      </c>
      <c r="H253" s="5" t="s">
        <v>30</v>
      </c>
      <c r="I253" s="5" t="s">
        <v>192</v>
      </c>
      <c r="J253" s="5" t="s">
        <v>193</v>
      </c>
      <c r="K253" s="5" t="s">
        <v>285</v>
      </c>
      <c r="L253" s="5" t="s">
        <v>286</v>
      </c>
      <c r="M253" s="5" t="s">
        <v>288</v>
      </c>
      <c r="N253" s="5" t="s">
        <v>289</v>
      </c>
      <c r="O253" s="5" t="s">
        <v>290</v>
      </c>
      <c r="P253" s="15">
        <v>24151200</v>
      </c>
      <c r="Q253" s="13"/>
      <c r="R253" s="13"/>
      <c r="S253" s="13"/>
      <c r="T253" s="13"/>
      <c r="U253" s="13">
        <v>24151200</v>
      </c>
      <c r="V253" s="13"/>
      <c r="W253" s="13"/>
      <c r="X253" s="13"/>
      <c r="Y253" s="13"/>
      <c r="Z253" s="13"/>
      <c r="AA253" s="13"/>
      <c r="AB253" s="13"/>
      <c r="AC253" s="4">
        <f t="shared" si="4"/>
        <v>24151200</v>
      </c>
    </row>
    <row r="254" spans="3:29" ht="63.75" x14ac:dyDescent="0.25">
      <c r="C254" s="5" t="s">
        <v>27</v>
      </c>
      <c r="D254" s="5" t="s">
        <v>28</v>
      </c>
      <c r="E254" s="5" t="s">
        <v>27</v>
      </c>
      <c r="F254" s="5" t="s">
        <v>28</v>
      </c>
      <c r="G254" s="5" t="s">
        <v>29</v>
      </c>
      <c r="H254" s="5" t="s">
        <v>30</v>
      </c>
      <c r="I254" s="5" t="s">
        <v>192</v>
      </c>
      <c r="J254" s="5" t="s">
        <v>193</v>
      </c>
      <c r="K254" s="5" t="s">
        <v>285</v>
      </c>
      <c r="L254" s="5" t="s">
        <v>286</v>
      </c>
      <c r="M254" s="5" t="s">
        <v>288</v>
      </c>
      <c r="N254" s="5" t="s">
        <v>291</v>
      </c>
      <c r="O254" s="5" t="s">
        <v>292</v>
      </c>
      <c r="P254" s="15">
        <v>55620000</v>
      </c>
      <c r="Q254" s="13"/>
      <c r="R254" s="13"/>
      <c r="S254" s="13"/>
      <c r="T254" s="13"/>
      <c r="U254" s="13">
        <v>52480000</v>
      </c>
      <c r="V254" s="13"/>
      <c r="W254" s="13">
        <v>3140000</v>
      </c>
      <c r="X254" s="13"/>
      <c r="Y254" s="13"/>
      <c r="Z254" s="13"/>
      <c r="AA254" s="13"/>
      <c r="AB254" s="13"/>
      <c r="AC254" s="4">
        <f t="shared" si="4"/>
        <v>55620000</v>
      </c>
    </row>
    <row r="255" spans="3:29" ht="63.75" x14ac:dyDescent="0.25">
      <c r="C255" s="5" t="s">
        <v>27</v>
      </c>
      <c r="D255" s="5" t="s">
        <v>28</v>
      </c>
      <c r="E255" s="5" t="s">
        <v>27</v>
      </c>
      <c r="F255" s="5" t="s">
        <v>28</v>
      </c>
      <c r="G255" s="5" t="s">
        <v>29</v>
      </c>
      <c r="H255" s="5" t="s">
        <v>30</v>
      </c>
      <c r="I255" s="5" t="s">
        <v>192</v>
      </c>
      <c r="J255" s="5" t="s">
        <v>193</v>
      </c>
      <c r="K255" s="5" t="s">
        <v>285</v>
      </c>
      <c r="L255" s="5" t="s">
        <v>286</v>
      </c>
      <c r="M255" s="5" t="s">
        <v>288</v>
      </c>
      <c r="N255" s="5" t="s">
        <v>277</v>
      </c>
      <c r="O255" s="5" t="s">
        <v>278</v>
      </c>
      <c r="P255" s="15">
        <v>56402500</v>
      </c>
      <c r="Q255" s="13"/>
      <c r="R255" s="13"/>
      <c r="S255" s="13"/>
      <c r="T255" s="13"/>
      <c r="U255" s="13"/>
      <c r="V255" s="13">
        <v>16400000</v>
      </c>
      <c r="W255" s="13">
        <v>40002500</v>
      </c>
      <c r="X255" s="13"/>
      <c r="Y255" s="13"/>
      <c r="Z255" s="13"/>
      <c r="AA255" s="13"/>
      <c r="AB255" s="13"/>
      <c r="AC255" s="4">
        <f t="shared" si="4"/>
        <v>56402500</v>
      </c>
    </row>
    <row r="256" spans="3:29" ht="63.75" x14ac:dyDescent="0.25">
      <c r="C256" s="5" t="s">
        <v>27</v>
      </c>
      <c r="D256" s="5" t="s">
        <v>28</v>
      </c>
      <c r="E256" s="5" t="s">
        <v>27</v>
      </c>
      <c r="F256" s="5" t="s">
        <v>28</v>
      </c>
      <c r="G256" s="5" t="s">
        <v>29</v>
      </c>
      <c r="H256" s="5" t="s">
        <v>30</v>
      </c>
      <c r="I256" s="5" t="s">
        <v>192</v>
      </c>
      <c r="J256" s="5" t="s">
        <v>193</v>
      </c>
      <c r="K256" s="5" t="s">
        <v>285</v>
      </c>
      <c r="L256" s="5" t="s">
        <v>286</v>
      </c>
      <c r="M256" s="5" t="s">
        <v>288</v>
      </c>
      <c r="N256" s="5" t="s">
        <v>279</v>
      </c>
      <c r="O256" s="5" t="s">
        <v>280</v>
      </c>
      <c r="P256" s="15">
        <v>26650000</v>
      </c>
      <c r="Q256" s="13"/>
      <c r="R256" s="13"/>
      <c r="S256" s="13"/>
      <c r="T256" s="13"/>
      <c r="U256" s="13">
        <v>26650000</v>
      </c>
      <c r="V256" s="13"/>
      <c r="W256" s="13"/>
      <c r="X256" s="13"/>
      <c r="Y256" s="13"/>
      <c r="Z256" s="13"/>
      <c r="AA256" s="13"/>
      <c r="AB256" s="13"/>
      <c r="AC256" s="4">
        <f t="shared" si="4"/>
        <v>26650000</v>
      </c>
    </row>
    <row r="257" spans="3:29" ht="63.75" x14ac:dyDescent="0.25">
      <c r="C257" s="5" t="s">
        <v>27</v>
      </c>
      <c r="D257" s="5" t="s">
        <v>28</v>
      </c>
      <c r="E257" s="5" t="s">
        <v>27</v>
      </c>
      <c r="F257" s="5" t="s">
        <v>28</v>
      </c>
      <c r="G257" s="5" t="s">
        <v>29</v>
      </c>
      <c r="H257" s="5" t="s">
        <v>30</v>
      </c>
      <c r="I257" s="5" t="s">
        <v>192</v>
      </c>
      <c r="J257" s="5" t="s">
        <v>193</v>
      </c>
      <c r="K257" s="5" t="s">
        <v>285</v>
      </c>
      <c r="L257" s="5" t="s">
        <v>286</v>
      </c>
      <c r="M257" s="5" t="s">
        <v>288</v>
      </c>
      <c r="N257" s="5" t="s">
        <v>293</v>
      </c>
      <c r="O257" s="5" t="s">
        <v>294</v>
      </c>
      <c r="P257" s="15">
        <v>4996900</v>
      </c>
      <c r="Q257" s="13"/>
      <c r="R257" s="13"/>
      <c r="S257" s="13"/>
      <c r="T257" s="13">
        <v>4996900</v>
      </c>
      <c r="U257" s="13"/>
      <c r="V257" s="13"/>
      <c r="W257" s="13"/>
      <c r="X257" s="13"/>
      <c r="Y257" s="13"/>
      <c r="Z257" s="13"/>
      <c r="AA257" s="13"/>
      <c r="AB257" s="13"/>
      <c r="AC257" s="4">
        <f t="shared" si="4"/>
        <v>4996900</v>
      </c>
    </row>
    <row r="258" spans="3:29" ht="63.75" x14ac:dyDescent="0.25">
      <c r="C258" s="5" t="s">
        <v>27</v>
      </c>
      <c r="D258" s="5" t="s">
        <v>28</v>
      </c>
      <c r="E258" s="5" t="s">
        <v>27</v>
      </c>
      <c r="F258" s="5" t="s">
        <v>28</v>
      </c>
      <c r="G258" s="5" t="s">
        <v>29</v>
      </c>
      <c r="H258" s="5" t="s">
        <v>30</v>
      </c>
      <c r="I258" s="5" t="s">
        <v>192</v>
      </c>
      <c r="J258" s="5" t="s">
        <v>193</v>
      </c>
      <c r="K258" s="5" t="s">
        <v>285</v>
      </c>
      <c r="L258" s="5" t="s">
        <v>286</v>
      </c>
      <c r="M258" s="5" t="s">
        <v>288</v>
      </c>
      <c r="N258" s="5" t="s">
        <v>124</v>
      </c>
      <c r="O258" s="5" t="s">
        <v>125</v>
      </c>
      <c r="P258" s="15">
        <v>202285000</v>
      </c>
      <c r="Q258" s="13">
        <v>0</v>
      </c>
      <c r="R258" s="13">
        <v>0</v>
      </c>
      <c r="S258" s="13">
        <v>0</v>
      </c>
      <c r="T258" s="13">
        <v>0</v>
      </c>
      <c r="U258" s="13">
        <v>133455000</v>
      </c>
      <c r="V258" s="13">
        <v>68830000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4">
        <f>Q258+R258+S258+T258+U258+V258+W258+X258+Y258+Z258+AA258+AB258</f>
        <v>202285000</v>
      </c>
    </row>
    <row r="259" spans="3:29" ht="63.75" x14ac:dyDescent="0.25">
      <c r="C259" s="5" t="s">
        <v>27</v>
      </c>
      <c r="D259" s="5" t="s">
        <v>28</v>
      </c>
      <c r="E259" s="5" t="s">
        <v>27</v>
      </c>
      <c r="F259" s="5" t="s">
        <v>28</v>
      </c>
      <c r="G259" s="5" t="s">
        <v>29</v>
      </c>
      <c r="H259" s="5" t="s">
        <v>30</v>
      </c>
      <c r="I259" s="5" t="s">
        <v>192</v>
      </c>
      <c r="J259" s="5" t="s">
        <v>193</v>
      </c>
      <c r="K259" s="5" t="s">
        <v>285</v>
      </c>
      <c r="L259" s="5" t="s">
        <v>286</v>
      </c>
      <c r="M259" s="5" t="s">
        <v>288</v>
      </c>
      <c r="N259" s="5" t="s">
        <v>295</v>
      </c>
      <c r="O259" s="5" t="s">
        <v>296</v>
      </c>
      <c r="P259" s="15">
        <v>39441100</v>
      </c>
      <c r="Q259" s="13"/>
      <c r="R259" s="13"/>
      <c r="S259" s="13"/>
      <c r="T259" s="13"/>
      <c r="U259" s="13">
        <v>14708800</v>
      </c>
      <c r="V259" s="13">
        <v>24732300</v>
      </c>
      <c r="W259" s="13"/>
      <c r="X259" s="13"/>
      <c r="Y259" s="13"/>
      <c r="Z259" s="13"/>
      <c r="AA259" s="13"/>
      <c r="AB259" s="13"/>
      <c r="AC259" s="4">
        <f>Q259+R259+S259+T259+U259+V259+W259+X259+Y259+Z259+AA259+AB259</f>
        <v>39441100</v>
      </c>
    </row>
    <row r="260" spans="3:29" ht="63.75" x14ac:dyDescent="0.25">
      <c r="C260" s="5" t="s">
        <v>27</v>
      </c>
      <c r="D260" s="5" t="s">
        <v>28</v>
      </c>
      <c r="E260" s="5" t="s">
        <v>27</v>
      </c>
      <c r="F260" s="5" t="s">
        <v>28</v>
      </c>
      <c r="G260" s="5" t="s">
        <v>29</v>
      </c>
      <c r="H260" s="5" t="s">
        <v>30</v>
      </c>
      <c r="I260" s="5" t="s">
        <v>192</v>
      </c>
      <c r="J260" s="5" t="s">
        <v>193</v>
      </c>
      <c r="K260" s="5" t="s">
        <v>297</v>
      </c>
      <c r="L260" s="5" t="s">
        <v>298</v>
      </c>
      <c r="M260" s="5" t="s">
        <v>299</v>
      </c>
      <c r="N260" s="5" t="s">
        <v>75</v>
      </c>
      <c r="O260" s="5" t="s">
        <v>76</v>
      </c>
      <c r="P260" s="15">
        <v>155000000</v>
      </c>
      <c r="Q260" s="13"/>
      <c r="R260" s="13"/>
      <c r="S260" s="13"/>
      <c r="T260" s="13"/>
      <c r="U260" s="13"/>
      <c r="V260" s="13"/>
      <c r="W260" s="13">
        <v>155000000</v>
      </c>
      <c r="X260" s="13"/>
      <c r="Y260" s="13"/>
      <c r="Z260" s="13"/>
      <c r="AA260" s="13"/>
      <c r="AB260" s="13"/>
      <c r="AC260" s="4">
        <f t="shared" si="4"/>
        <v>155000000</v>
      </c>
    </row>
    <row r="261" spans="3:29" ht="63.75" x14ac:dyDescent="0.25">
      <c r="C261" s="5" t="s">
        <v>27</v>
      </c>
      <c r="D261" s="5" t="s">
        <v>28</v>
      </c>
      <c r="E261" s="5" t="s">
        <v>27</v>
      </c>
      <c r="F261" s="5" t="s">
        <v>28</v>
      </c>
      <c r="G261" s="5" t="s">
        <v>29</v>
      </c>
      <c r="H261" s="5" t="s">
        <v>30</v>
      </c>
      <c r="I261" s="5" t="s">
        <v>192</v>
      </c>
      <c r="J261" s="5" t="s">
        <v>193</v>
      </c>
      <c r="K261" s="5" t="s">
        <v>297</v>
      </c>
      <c r="L261" s="5" t="s">
        <v>298</v>
      </c>
      <c r="M261" s="22" t="s">
        <v>299</v>
      </c>
      <c r="N261" s="22" t="s">
        <v>300</v>
      </c>
      <c r="O261" s="22" t="s">
        <v>301</v>
      </c>
      <c r="P261" s="15">
        <v>10500000</v>
      </c>
      <c r="Q261" s="13">
        <v>1291000</v>
      </c>
      <c r="R261" s="13">
        <v>1291000</v>
      </c>
      <c r="S261" s="13">
        <v>1291000</v>
      </c>
      <c r="T261" s="13">
        <v>1291000</v>
      </c>
      <c r="U261" s="13">
        <v>1291000</v>
      </c>
      <c r="V261" s="13">
        <v>1291000</v>
      </c>
      <c r="W261" s="13">
        <v>1291000</v>
      </c>
      <c r="X261" s="13">
        <v>1291000</v>
      </c>
      <c r="Y261" s="21">
        <v>172000</v>
      </c>
      <c r="Z261" s="21">
        <v>0</v>
      </c>
      <c r="AA261" s="21">
        <v>0</v>
      </c>
      <c r="AB261" s="21">
        <v>0</v>
      </c>
      <c r="AC261" s="4">
        <f t="shared" si="4"/>
        <v>10500000</v>
      </c>
    </row>
    <row r="262" spans="3:29" ht="63.75" x14ac:dyDescent="0.25">
      <c r="C262" s="5" t="s">
        <v>27</v>
      </c>
      <c r="D262" s="5" t="s">
        <v>28</v>
      </c>
      <c r="E262" s="5" t="s">
        <v>27</v>
      </c>
      <c r="F262" s="5" t="s">
        <v>28</v>
      </c>
      <c r="G262" s="5" t="s">
        <v>29</v>
      </c>
      <c r="H262" s="5" t="s">
        <v>30</v>
      </c>
      <c r="I262" s="5" t="s">
        <v>192</v>
      </c>
      <c r="J262" s="5" t="s">
        <v>193</v>
      </c>
      <c r="K262" s="5" t="s">
        <v>297</v>
      </c>
      <c r="L262" s="5" t="s">
        <v>298</v>
      </c>
      <c r="M262" s="22" t="s">
        <v>299</v>
      </c>
      <c r="N262" s="22" t="s">
        <v>302</v>
      </c>
      <c r="O262" s="22" t="s">
        <v>303</v>
      </c>
      <c r="P262" s="15">
        <v>149239000</v>
      </c>
      <c r="Q262" s="13">
        <v>14519000</v>
      </c>
      <c r="R262" s="13">
        <v>14519000</v>
      </c>
      <c r="S262" s="13">
        <v>14519000</v>
      </c>
      <c r="T262" s="13">
        <v>14519000</v>
      </c>
      <c r="U262" s="13">
        <v>14519000</v>
      </c>
      <c r="V262" s="13">
        <v>14519000</v>
      </c>
      <c r="W262" s="13">
        <v>14519000</v>
      </c>
      <c r="X262" s="13">
        <v>14519000</v>
      </c>
      <c r="Y262" s="13">
        <v>14519000</v>
      </c>
      <c r="Z262" s="13">
        <v>14519000</v>
      </c>
      <c r="AA262" s="21">
        <v>4049000</v>
      </c>
      <c r="AB262" s="21">
        <v>0</v>
      </c>
      <c r="AC262" s="4">
        <f t="shared" si="4"/>
        <v>149239000</v>
      </c>
    </row>
    <row r="263" spans="3:29" ht="63.75" x14ac:dyDescent="0.25">
      <c r="C263" s="5" t="s">
        <v>27</v>
      </c>
      <c r="D263" s="5" t="s">
        <v>28</v>
      </c>
      <c r="E263" s="5" t="s">
        <v>27</v>
      </c>
      <c r="F263" s="5" t="s">
        <v>28</v>
      </c>
      <c r="G263" s="5" t="s">
        <v>29</v>
      </c>
      <c r="H263" s="5" t="s">
        <v>30</v>
      </c>
      <c r="I263" s="5" t="s">
        <v>192</v>
      </c>
      <c r="J263" s="5" t="s">
        <v>193</v>
      </c>
      <c r="K263" s="5" t="s">
        <v>297</v>
      </c>
      <c r="L263" s="5" t="s">
        <v>298</v>
      </c>
      <c r="M263" s="22" t="s">
        <v>299</v>
      </c>
      <c r="N263" s="22" t="s">
        <v>304</v>
      </c>
      <c r="O263" s="22" t="s">
        <v>305</v>
      </c>
      <c r="P263" s="15">
        <v>458410000</v>
      </c>
      <c r="Q263" s="13">
        <v>40247000</v>
      </c>
      <c r="R263" s="13">
        <v>40247000</v>
      </c>
      <c r="S263" s="13">
        <v>40247000</v>
      </c>
      <c r="T263" s="13">
        <v>40247000</v>
      </c>
      <c r="U263" s="13">
        <v>40247000</v>
      </c>
      <c r="V263" s="13">
        <v>40247000</v>
      </c>
      <c r="W263" s="13">
        <v>40247000</v>
      </c>
      <c r="X263" s="13">
        <v>40247000</v>
      </c>
      <c r="Y263" s="13">
        <v>40247000</v>
      </c>
      <c r="Z263" s="13">
        <v>40247000</v>
      </c>
      <c r="AA263" s="13">
        <v>40247000</v>
      </c>
      <c r="AB263" s="21">
        <v>15693000</v>
      </c>
      <c r="AC263" s="4">
        <f t="shared" si="4"/>
        <v>458410000</v>
      </c>
    </row>
    <row r="264" spans="3:29" ht="63.75" x14ac:dyDescent="0.25">
      <c r="C264" s="5" t="s">
        <v>27</v>
      </c>
      <c r="D264" s="5" t="s">
        <v>28</v>
      </c>
      <c r="E264" s="5" t="s">
        <v>27</v>
      </c>
      <c r="F264" s="5" t="s">
        <v>28</v>
      </c>
      <c r="G264" s="5" t="s">
        <v>29</v>
      </c>
      <c r="H264" s="5" t="s">
        <v>30</v>
      </c>
      <c r="I264" s="5" t="s">
        <v>192</v>
      </c>
      <c r="J264" s="5" t="s">
        <v>193</v>
      </c>
      <c r="K264" s="5" t="s">
        <v>297</v>
      </c>
      <c r="L264" s="5" t="s">
        <v>298</v>
      </c>
      <c r="M264" s="5" t="s">
        <v>299</v>
      </c>
      <c r="N264" s="5" t="s">
        <v>306</v>
      </c>
      <c r="O264" s="5" t="s">
        <v>307</v>
      </c>
      <c r="P264" s="15">
        <v>252000000</v>
      </c>
      <c r="Q264" s="13">
        <v>5000000</v>
      </c>
      <c r="R264" s="13">
        <v>5000000</v>
      </c>
      <c r="S264" s="13">
        <v>5000000</v>
      </c>
      <c r="T264" s="13">
        <v>53000000</v>
      </c>
      <c r="U264" s="13">
        <v>5000000</v>
      </c>
      <c r="V264" s="13">
        <v>5000000</v>
      </c>
      <c r="W264" s="13">
        <v>53000000</v>
      </c>
      <c r="X264" s="13">
        <v>5000000</v>
      </c>
      <c r="Y264" s="13">
        <v>5000000</v>
      </c>
      <c r="Z264" s="13">
        <v>53000000</v>
      </c>
      <c r="AA264" s="13">
        <v>5000000</v>
      </c>
      <c r="AB264" s="13">
        <v>53000000</v>
      </c>
      <c r="AC264" s="4">
        <f t="shared" si="4"/>
        <v>252000000</v>
      </c>
    </row>
    <row r="265" spans="3:29" ht="63.75" x14ac:dyDescent="0.25">
      <c r="C265" s="5" t="s">
        <v>27</v>
      </c>
      <c r="D265" s="5" t="s">
        <v>28</v>
      </c>
      <c r="E265" s="5" t="s">
        <v>27</v>
      </c>
      <c r="F265" s="5" t="s">
        <v>28</v>
      </c>
      <c r="G265" s="5" t="s">
        <v>29</v>
      </c>
      <c r="H265" s="5" t="s">
        <v>30</v>
      </c>
      <c r="I265" s="5" t="s">
        <v>192</v>
      </c>
      <c r="J265" s="5" t="s">
        <v>193</v>
      </c>
      <c r="K265" s="5" t="s">
        <v>297</v>
      </c>
      <c r="L265" s="5" t="s">
        <v>298</v>
      </c>
      <c r="M265" s="5" t="s">
        <v>299</v>
      </c>
      <c r="N265" s="5" t="s">
        <v>308</v>
      </c>
      <c r="O265" s="5" t="s">
        <v>309</v>
      </c>
      <c r="P265" s="15">
        <v>6875000</v>
      </c>
      <c r="Q265" s="13"/>
      <c r="R265" s="13"/>
      <c r="S265" s="13"/>
      <c r="T265" s="13"/>
      <c r="U265" s="13">
        <v>6875000</v>
      </c>
      <c r="V265" s="13"/>
      <c r="W265" s="13"/>
      <c r="X265" s="13"/>
      <c r="Y265" s="13"/>
      <c r="Z265" s="13"/>
      <c r="AA265" s="13"/>
      <c r="AB265" s="13"/>
      <c r="AC265" s="4">
        <f t="shared" si="4"/>
        <v>6875000</v>
      </c>
    </row>
    <row r="266" spans="3:29" ht="63.75" x14ac:dyDescent="0.25">
      <c r="C266" s="5" t="s">
        <v>27</v>
      </c>
      <c r="D266" s="5" t="s">
        <v>28</v>
      </c>
      <c r="E266" s="5" t="s">
        <v>27</v>
      </c>
      <c r="F266" s="5" t="s">
        <v>28</v>
      </c>
      <c r="G266" s="5" t="s">
        <v>29</v>
      </c>
      <c r="H266" s="5" t="s">
        <v>30</v>
      </c>
      <c r="I266" s="5" t="s">
        <v>192</v>
      </c>
      <c r="J266" s="5" t="s">
        <v>193</v>
      </c>
      <c r="K266" s="5" t="s">
        <v>297</v>
      </c>
      <c r="L266" s="5" t="s">
        <v>298</v>
      </c>
      <c r="M266" s="5" t="s">
        <v>310</v>
      </c>
      <c r="N266" s="5" t="s">
        <v>311</v>
      </c>
      <c r="O266" s="5" t="s">
        <v>312</v>
      </c>
      <c r="P266" s="15">
        <v>314412000</v>
      </c>
      <c r="Q266" s="13"/>
      <c r="R266" s="13">
        <v>26201000</v>
      </c>
      <c r="S266" s="13">
        <v>26201000</v>
      </c>
      <c r="T266" s="13">
        <v>26201000</v>
      </c>
      <c r="U266" s="13">
        <v>26201000</v>
      </c>
      <c r="V266" s="13">
        <v>26201000</v>
      </c>
      <c r="W266" s="13">
        <v>26201000</v>
      </c>
      <c r="X266" s="13">
        <v>26201000</v>
      </c>
      <c r="Y266" s="13">
        <v>26201000</v>
      </c>
      <c r="Z266" s="13">
        <v>26201000</v>
      </c>
      <c r="AA266" s="13">
        <v>26201000</v>
      </c>
      <c r="AB266" s="13">
        <v>52402000</v>
      </c>
      <c r="AC266" s="4">
        <f t="shared" si="4"/>
        <v>314412000</v>
      </c>
    </row>
    <row r="267" spans="3:29" ht="63.75" x14ac:dyDescent="0.25">
      <c r="C267" s="5" t="s">
        <v>27</v>
      </c>
      <c r="D267" s="5" t="s">
        <v>28</v>
      </c>
      <c r="E267" s="5" t="s">
        <v>27</v>
      </c>
      <c r="F267" s="5" t="s">
        <v>28</v>
      </c>
      <c r="G267" s="5" t="s">
        <v>29</v>
      </c>
      <c r="H267" s="5" t="s">
        <v>30</v>
      </c>
      <c r="I267" s="5" t="s">
        <v>192</v>
      </c>
      <c r="J267" s="5" t="s">
        <v>193</v>
      </c>
      <c r="K267" s="5" t="s">
        <v>297</v>
      </c>
      <c r="L267" s="5" t="s">
        <v>298</v>
      </c>
      <c r="M267" s="5" t="s">
        <v>310</v>
      </c>
      <c r="N267" s="5" t="s">
        <v>313</v>
      </c>
      <c r="O267" s="5" t="s">
        <v>314</v>
      </c>
      <c r="P267" s="15">
        <v>39000000</v>
      </c>
      <c r="Q267" s="13">
        <v>3000000</v>
      </c>
      <c r="R267" s="13">
        <v>3000000</v>
      </c>
      <c r="S267" s="13">
        <v>6000000</v>
      </c>
      <c r="T267" s="13">
        <v>3000000</v>
      </c>
      <c r="U267" s="13">
        <v>3000000</v>
      </c>
      <c r="V267" s="13">
        <v>3000000</v>
      </c>
      <c r="W267" s="13">
        <v>3000000</v>
      </c>
      <c r="X267" s="13">
        <v>3000000</v>
      </c>
      <c r="Y267" s="13">
        <v>3000000</v>
      </c>
      <c r="Z267" s="13">
        <v>3000000</v>
      </c>
      <c r="AA267" s="13">
        <v>3000000</v>
      </c>
      <c r="AB267" s="13">
        <v>3000000</v>
      </c>
      <c r="AC267" s="4">
        <f t="shared" si="4"/>
        <v>39000000</v>
      </c>
    </row>
    <row r="268" spans="3:29" ht="63.75" x14ac:dyDescent="0.25">
      <c r="C268" s="5" t="s">
        <v>27</v>
      </c>
      <c r="D268" s="5" t="s">
        <v>28</v>
      </c>
      <c r="E268" s="5" t="s">
        <v>27</v>
      </c>
      <c r="F268" s="5" t="s">
        <v>28</v>
      </c>
      <c r="G268" s="5" t="s">
        <v>29</v>
      </c>
      <c r="H268" s="5" t="s">
        <v>30</v>
      </c>
      <c r="I268" s="5" t="s">
        <v>192</v>
      </c>
      <c r="J268" s="5" t="s">
        <v>193</v>
      </c>
      <c r="K268" s="5" t="s">
        <v>297</v>
      </c>
      <c r="L268" s="5" t="s">
        <v>298</v>
      </c>
      <c r="M268" s="5" t="s">
        <v>310</v>
      </c>
      <c r="N268" s="5" t="s">
        <v>315</v>
      </c>
      <c r="O268" s="5" t="s">
        <v>316</v>
      </c>
      <c r="P268" s="15">
        <v>1800000</v>
      </c>
      <c r="Q268" s="13">
        <v>150000</v>
      </c>
      <c r="R268" s="13">
        <v>150000</v>
      </c>
      <c r="S268" s="13">
        <v>150000</v>
      </c>
      <c r="T268" s="13">
        <v>150000</v>
      </c>
      <c r="U268" s="13">
        <v>150000</v>
      </c>
      <c r="V268" s="13">
        <v>150000</v>
      </c>
      <c r="W268" s="13">
        <v>150000</v>
      </c>
      <c r="X268" s="13">
        <v>150000</v>
      </c>
      <c r="Y268" s="13">
        <v>150000</v>
      </c>
      <c r="Z268" s="13">
        <v>150000</v>
      </c>
      <c r="AA268" s="13">
        <v>150000</v>
      </c>
      <c r="AB268" s="13">
        <v>150000</v>
      </c>
      <c r="AC268" s="4">
        <f t="shared" si="4"/>
        <v>1800000</v>
      </c>
    </row>
    <row r="269" spans="3:29" ht="63.75" x14ac:dyDescent="0.25">
      <c r="C269" s="5" t="s">
        <v>27</v>
      </c>
      <c r="D269" s="5" t="s">
        <v>28</v>
      </c>
      <c r="E269" s="5" t="s">
        <v>27</v>
      </c>
      <c r="F269" s="5" t="s">
        <v>28</v>
      </c>
      <c r="G269" s="5" t="s">
        <v>29</v>
      </c>
      <c r="H269" s="5" t="s">
        <v>30</v>
      </c>
      <c r="I269" s="5" t="s">
        <v>192</v>
      </c>
      <c r="J269" s="5" t="s">
        <v>193</v>
      </c>
      <c r="K269" s="5" t="s">
        <v>297</v>
      </c>
      <c r="L269" s="5" t="s">
        <v>298</v>
      </c>
      <c r="M269" s="5" t="s">
        <v>310</v>
      </c>
      <c r="N269" s="5" t="s">
        <v>92</v>
      </c>
      <c r="O269" s="5" t="s">
        <v>93</v>
      </c>
      <c r="P269" s="15">
        <v>2400000</v>
      </c>
      <c r="Q269" s="13">
        <v>200000</v>
      </c>
      <c r="R269" s="13">
        <v>220000</v>
      </c>
      <c r="S269" s="13">
        <v>220000</v>
      </c>
      <c r="T269" s="13">
        <v>220000</v>
      </c>
      <c r="U269" s="13">
        <v>220000</v>
      </c>
      <c r="V269" s="13">
        <v>220000</v>
      </c>
      <c r="W269" s="13">
        <v>220000</v>
      </c>
      <c r="X269" s="13">
        <v>220000</v>
      </c>
      <c r="Y269" s="13">
        <v>220000</v>
      </c>
      <c r="Z269" s="13">
        <v>220000</v>
      </c>
      <c r="AA269" s="13">
        <v>220000</v>
      </c>
      <c r="AB269" s="13">
        <v>0</v>
      </c>
      <c r="AC269" s="4">
        <f t="shared" si="4"/>
        <v>2400000</v>
      </c>
    </row>
    <row r="270" spans="3:29" ht="63.75" x14ac:dyDescent="0.25">
      <c r="C270" s="5" t="s">
        <v>27</v>
      </c>
      <c r="D270" s="5" t="s">
        <v>28</v>
      </c>
      <c r="E270" s="5" t="s">
        <v>27</v>
      </c>
      <c r="F270" s="5" t="s">
        <v>28</v>
      </c>
      <c r="G270" s="5" t="s">
        <v>29</v>
      </c>
      <c r="H270" s="5" t="s">
        <v>30</v>
      </c>
      <c r="I270" s="5" t="s">
        <v>192</v>
      </c>
      <c r="J270" s="5" t="s">
        <v>193</v>
      </c>
      <c r="K270" s="5" t="s">
        <v>297</v>
      </c>
      <c r="L270" s="5" t="s">
        <v>298</v>
      </c>
      <c r="M270" s="5" t="s">
        <v>310</v>
      </c>
      <c r="N270" s="5" t="s">
        <v>94</v>
      </c>
      <c r="O270" s="5" t="s">
        <v>95</v>
      </c>
      <c r="P270" s="15">
        <v>93588</v>
      </c>
      <c r="Q270" s="13">
        <v>7799</v>
      </c>
      <c r="R270" s="13">
        <v>7799</v>
      </c>
      <c r="S270" s="13">
        <v>7799</v>
      </c>
      <c r="T270" s="13">
        <v>7799</v>
      </c>
      <c r="U270" s="13">
        <v>7799</v>
      </c>
      <c r="V270" s="13">
        <v>7799</v>
      </c>
      <c r="W270" s="13">
        <v>7799</v>
      </c>
      <c r="X270" s="13">
        <v>7799</v>
      </c>
      <c r="Y270" s="13">
        <v>7799</v>
      </c>
      <c r="Z270" s="13">
        <v>7799</v>
      </c>
      <c r="AA270" s="13">
        <v>7799</v>
      </c>
      <c r="AB270" s="13">
        <v>7799</v>
      </c>
      <c r="AC270" s="4">
        <f t="shared" si="4"/>
        <v>93588</v>
      </c>
    </row>
    <row r="271" spans="3:29" ht="63.75" x14ac:dyDescent="0.25">
      <c r="C271" s="5" t="s">
        <v>27</v>
      </c>
      <c r="D271" s="5" t="s">
        <v>28</v>
      </c>
      <c r="E271" s="5" t="s">
        <v>27</v>
      </c>
      <c r="F271" s="5" t="s">
        <v>28</v>
      </c>
      <c r="G271" s="5" t="s">
        <v>29</v>
      </c>
      <c r="H271" s="5" t="s">
        <v>30</v>
      </c>
      <c r="I271" s="5" t="s">
        <v>192</v>
      </c>
      <c r="J271" s="5" t="s">
        <v>193</v>
      </c>
      <c r="K271" s="5" t="s">
        <v>297</v>
      </c>
      <c r="L271" s="5" t="s">
        <v>298</v>
      </c>
      <c r="M271" s="5" t="s">
        <v>310</v>
      </c>
      <c r="N271" s="5" t="s">
        <v>96</v>
      </c>
      <c r="O271" s="5" t="s">
        <v>97</v>
      </c>
      <c r="P271" s="15">
        <v>259200</v>
      </c>
      <c r="Q271" s="13">
        <v>21600</v>
      </c>
      <c r="R271" s="13">
        <v>21600</v>
      </c>
      <c r="S271" s="13">
        <v>21600</v>
      </c>
      <c r="T271" s="13">
        <v>21600</v>
      </c>
      <c r="U271" s="13">
        <v>21600</v>
      </c>
      <c r="V271" s="13">
        <v>21600</v>
      </c>
      <c r="W271" s="13">
        <v>21600</v>
      </c>
      <c r="X271" s="13">
        <v>21600</v>
      </c>
      <c r="Y271" s="13">
        <v>21600</v>
      </c>
      <c r="Z271" s="13">
        <v>21600</v>
      </c>
      <c r="AA271" s="13">
        <v>21600</v>
      </c>
      <c r="AB271" s="13">
        <v>21600</v>
      </c>
      <c r="AC271" s="4">
        <f t="shared" si="4"/>
        <v>259200</v>
      </c>
    </row>
    <row r="272" spans="3:29" ht="63.75" x14ac:dyDescent="0.25">
      <c r="C272" s="5" t="s">
        <v>27</v>
      </c>
      <c r="D272" s="5" t="s">
        <v>28</v>
      </c>
      <c r="E272" s="5" t="s">
        <v>27</v>
      </c>
      <c r="F272" s="5" t="s">
        <v>28</v>
      </c>
      <c r="G272" s="5" t="s">
        <v>29</v>
      </c>
      <c r="H272" s="5" t="s">
        <v>30</v>
      </c>
      <c r="I272" s="5" t="s">
        <v>192</v>
      </c>
      <c r="J272" s="5" t="s">
        <v>193</v>
      </c>
      <c r="K272" s="5" t="s">
        <v>297</v>
      </c>
      <c r="L272" s="5" t="s">
        <v>298</v>
      </c>
      <c r="M272" s="5" t="s">
        <v>310</v>
      </c>
      <c r="N272" s="5" t="s">
        <v>317</v>
      </c>
      <c r="O272" s="5" t="s">
        <v>318</v>
      </c>
      <c r="P272" s="15">
        <v>40572000</v>
      </c>
      <c r="Q272" s="13"/>
      <c r="R272" s="13"/>
      <c r="S272" s="13"/>
      <c r="T272" s="13">
        <v>10143000</v>
      </c>
      <c r="U272" s="13"/>
      <c r="V272" s="13"/>
      <c r="W272" s="13">
        <v>10143000</v>
      </c>
      <c r="X272" s="13"/>
      <c r="Y272" s="13"/>
      <c r="Z272" s="13">
        <v>10143000</v>
      </c>
      <c r="AA272" s="13"/>
      <c r="AB272" s="13">
        <v>10143000</v>
      </c>
      <c r="AC272" s="4">
        <f t="shared" si="4"/>
        <v>40572000</v>
      </c>
    </row>
    <row r="273" spans="3:29" ht="102" x14ac:dyDescent="0.25">
      <c r="C273" s="5" t="s">
        <v>27</v>
      </c>
      <c r="D273" s="5" t="s">
        <v>28</v>
      </c>
      <c r="E273" s="5" t="s">
        <v>27</v>
      </c>
      <c r="F273" s="5" t="s">
        <v>28</v>
      </c>
      <c r="G273" s="5" t="s">
        <v>29</v>
      </c>
      <c r="H273" s="5" t="s">
        <v>30</v>
      </c>
      <c r="I273" s="5" t="s">
        <v>192</v>
      </c>
      <c r="J273" s="5" t="s">
        <v>193</v>
      </c>
      <c r="K273" s="5" t="s">
        <v>319</v>
      </c>
      <c r="L273" s="5" t="s">
        <v>320</v>
      </c>
      <c r="M273" s="5" t="s">
        <v>321</v>
      </c>
      <c r="N273" s="5" t="s">
        <v>315</v>
      </c>
      <c r="O273" s="5" t="s">
        <v>316</v>
      </c>
      <c r="P273" s="15">
        <v>2600000</v>
      </c>
      <c r="Q273" s="13"/>
      <c r="R273" s="13"/>
      <c r="S273" s="13"/>
      <c r="T273" s="13"/>
      <c r="U273" s="13">
        <v>2000000</v>
      </c>
      <c r="V273" s="13"/>
      <c r="W273" s="13"/>
      <c r="X273" s="13"/>
      <c r="Y273" s="13"/>
      <c r="Z273" s="13"/>
      <c r="AA273" s="13">
        <v>600000</v>
      </c>
      <c r="AB273" s="13"/>
      <c r="AC273" s="4">
        <f t="shared" si="4"/>
        <v>2600000</v>
      </c>
    </row>
    <row r="274" spans="3:29" ht="102" x14ac:dyDescent="0.25">
      <c r="C274" s="5" t="s">
        <v>27</v>
      </c>
      <c r="D274" s="5" t="s">
        <v>28</v>
      </c>
      <c r="E274" s="5" t="s">
        <v>27</v>
      </c>
      <c r="F274" s="5" t="s">
        <v>28</v>
      </c>
      <c r="G274" s="5" t="s">
        <v>29</v>
      </c>
      <c r="H274" s="5" t="s">
        <v>30</v>
      </c>
      <c r="I274" s="5" t="s">
        <v>192</v>
      </c>
      <c r="J274" s="5" t="s">
        <v>193</v>
      </c>
      <c r="K274" s="5" t="s">
        <v>319</v>
      </c>
      <c r="L274" s="5" t="s">
        <v>320</v>
      </c>
      <c r="M274" s="5" t="s">
        <v>321</v>
      </c>
      <c r="N274" s="5" t="s">
        <v>322</v>
      </c>
      <c r="O274" s="5" t="s">
        <v>323</v>
      </c>
      <c r="P274" s="15">
        <v>63280000</v>
      </c>
      <c r="Q274" s="13">
        <v>4000000</v>
      </c>
      <c r="R274" s="13">
        <v>4000000</v>
      </c>
      <c r="S274" s="13">
        <v>4000000</v>
      </c>
      <c r="T274" s="13">
        <v>4000000</v>
      </c>
      <c r="U274" s="13">
        <v>4000000</v>
      </c>
      <c r="V274" s="13">
        <v>19280000</v>
      </c>
      <c r="W274" s="13">
        <v>4000000</v>
      </c>
      <c r="X274" s="13">
        <v>4000000</v>
      </c>
      <c r="Y274" s="13">
        <v>4000000</v>
      </c>
      <c r="Z274" s="13">
        <v>4000000</v>
      </c>
      <c r="AA274" s="13">
        <v>4000000</v>
      </c>
      <c r="AB274" s="13">
        <v>4000000</v>
      </c>
      <c r="AC274" s="4">
        <f t="shared" si="4"/>
        <v>63280000</v>
      </c>
    </row>
    <row r="275" spans="3:29" ht="102" x14ac:dyDescent="0.25">
      <c r="C275" s="5" t="s">
        <v>27</v>
      </c>
      <c r="D275" s="5" t="s">
        <v>28</v>
      </c>
      <c r="E275" s="5" t="s">
        <v>27</v>
      </c>
      <c r="F275" s="5" t="s">
        <v>28</v>
      </c>
      <c r="G275" s="5" t="s">
        <v>29</v>
      </c>
      <c r="H275" s="5" t="s">
        <v>30</v>
      </c>
      <c r="I275" s="5" t="s">
        <v>192</v>
      </c>
      <c r="J275" s="5" t="s">
        <v>193</v>
      </c>
      <c r="K275" s="5" t="s">
        <v>319</v>
      </c>
      <c r="L275" s="5" t="s">
        <v>320</v>
      </c>
      <c r="M275" s="5" t="s">
        <v>324</v>
      </c>
      <c r="N275" s="5" t="s">
        <v>315</v>
      </c>
      <c r="O275" s="5" t="s">
        <v>316</v>
      </c>
      <c r="P275" s="15">
        <v>25350000</v>
      </c>
      <c r="Q275" s="13">
        <v>0</v>
      </c>
      <c r="R275" s="13">
        <v>0</v>
      </c>
      <c r="S275" s="13">
        <v>14950000</v>
      </c>
      <c r="T275" s="13">
        <v>0</v>
      </c>
      <c r="U275" s="13">
        <v>10000000</v>
      </c>
      <c r="V275" s="13">
        <v>400000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4">
        <f t="shared" si="4"/>
        <v>25350000</v>
      </c>
    </row>
    <row r="276" spans="3:29" ht="102" x14ac:dyDescent="0.25">
      <c r="C276" s="5" t="s">
        <v>27</v>
      </c>
      <c r="D276" s="5" t="s">
        <v>28</v>
      </c>
      <c r="E276" s="5" t="s">
        <v>27</v>
      </c>
      <c r="F276" s="5" t="s">
        <v>28</v>
      </c>
      <c r="G276" s="5" t="s">
        <v>29</v>
      </c>
      <c r="H276" s="5" t="s">
        <v>30</v>
      </c>
      <c r="I276" s="5" t="s">
        <v>192</v>
      </c>
      <c r="J276" s="5" t="s">
        <v>193</v>
      </c>
      <c r="K276" s="5" t="s">
        <v>319</v>
      </c>
      <c r="L276" s="5" t="s">
        <v>320</v>
      </c>
      <c r="M276" s="22" t="s">
        <v>324</v>
      </c>
      <c r="N276" s="22" t="s">
        <v>322</v>
      </c>
      <c r="O276" s="22" t="s">
        <v>323</v>
      </c>
      <c r="P276" s="15">
        <v>283800000</v>
      </c>
      <c r="Q276" s="13">
        <v>6500000</v>
      </c>
      <c r="R276" s="13">
        <v>6500000</v>
      </c>
      <c r="S276" s="13">
        <v>6500000</v>
      </c>
      <c r="T276" s="13">
        <v>62166000</v>
      </c>
      <c r="U276" s="21">
        <v>5500000</v>
      </c>
      <c r="V276" s="21">
        <v>5500000</v>
      </c>
      <c r="W276" s="21">
        <v>61166000</v>
      </c>
      <c r="X276" s="21">
        <v>5500000</v>
      </c>
      <c r="Y276" s="21">
        <v>61168000</v>
      </c>
      <c r="Z276" s="21">
        <v>52300000</v>
      </c>
      <c r="AA276" s="21">
        <v>5500000</v>
      </c>
      <c r="AB276" s="21">
        <v>5500000</v>
      </c>
      <c r="AC276" s="4">
        <f t="shared" si="4"/>
        <v>283800000</v>
      </c>
    </row>
    <row r="277" spans="3:29" ht="102" x14ac:dyDescent="0.25">
      <c r="C277" s="5" t="s">
        <v>27</v>
      </c>
      <c r="D277" s="5" t="s">
        <v>28</v>
      </c>
      <c r="E277" s="5" t="s">
        <v>27</v>
      </c>
      <c r="F277" s="5" t="s">
        <v>28</v>
      </c>
      <c r="G277" s="5" t="s">
        <v>29</v>
      </c>
      <c r="H277" s="5" t="s">
        <v>30</v>
      </c>
      <c r="I277" s="5" t="s">
        <v>192</v>
      </c>
      <c r="J277" s="5" t="s">
        <v>193</v>
      </c>
      <c r="K277" s="5" t="s">
        <v>319</v>
      </c>
      <c r="L277" s="5" t="s">
        <v>320</v>
      </c>
      <c r="M277" s="22" t="s">
        <v>324</v>
      </c>
      <c r="N277" s="22" t="s">
        <v>325</v>
      </c>
      <c r="O277" s="22" t="s">
        <v>326</v>
      </c>
      <c r="P277" s="15">
        <v>4890000</v>
      </c>
      <c r="Q277" s="13">
        <v>300000</v>
      </c>
      <c r="R277" s="13">
        <v>300000</v>
      </c>
      <c r="S277" s="13">
        <v>300000</v>
      </c>
      <c r="T277" s="13">
        <v>300000</v>
      </c>
      <c r="U277" s="21">
        <v>200000</v>
      </c>
      <c r="V277" s="21">
        <v>200000</v>
      </c>
      <c r="W277" s="21">
        <v>200000</v>
      </c>
      <c r="X277" s="21">
        <v>200000</v>
      </c>
      <c r="Y277" s="21">
        <v>1490000</v>
      </c>
      <c r="Z277" s="21">
        <v>200000</v>
      </c>
      <c r="AA277" s="21">
        <v>200000</v>
      </c>
      <c r="AB277" s="21">
        <v>1000000</v>
      </c>
      <c r="AC277" s="4">
        <f t="shared" si="4"/>
        <v>4890000</v>
      </c>
    </row>
    <row r="278" spans="3:29" ht="102" x14ac:dyDescent="0.25">
      <c r="C278" s="5" t="s">
        <v>27</v>
      </c>
      <c r="D278" s="5" t="s">
        <v>28</v>
      </c>
      <c r="E278" s="5" t="s">
        <v>27</v>
      </c>
      <c r="F278" s="5" t="s">
        <v>28</v>
      </c>
      <c r="G278" s="5" t="s">
        <v>29</v>
      </c>
      <c r="H278" s="5" t="s">
        <v>30</v>
      </c>
      <c r="I278" s="5" t="s">
        <v>192</v>
      </c>
      <c r="J278" s="5" t="s">
        <v>193</v>
      </c>
      <c r="K278" s="5" t="s">
        <v>319</v>
      </c>
      <c r="L278" s="5" t="s">
        <v>320</v>
      </c>
      <c r="M278" s="5" t="s">
        <v>324</v>
      </c>
      <c r="N278" s="5" t="s">
        <v>327</v>
      </c>
      <c r="O278" s="5" t="s">
        <v>328</v>
      </c>
      <c r="P278" s="15">
        <v>40480000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20240000</v>
      </c>
      <c r="X278" s="13">
        <v>0</v>
      </c>
      <c r="Y278" s="13">
        <v>0</v>
      </c>
      <c r="Z278" s="13">
        <v>20240000</v>
      </c>
      <c r="AA278" s="13">
        <v>0</v>
      </c>
      <c r="AB278" s="13">
        <v>0</v>
      </c>
      <c r="AC278" s="4">
        <f t="shared" si="4"/>
        <v>40480000</v>
      </c>
    </row>
    <row r="279" spans="3:29" ht="76.5" x14ac:dyDescent="0.25">
      <c r="C279" s="5" t="s">
        <v>27</v>
      </c>
      <c r="D279" s="5" t="s">
        <v>28</v>
      </c>
      <c r="E279" s="5" t="s">
        <v>27</v>
      </c>
      <c r="F279" s="5" t="s">
        <v>28</v>
      </c>
      <c r="G279" s="5" t="s">
        <v>29</v>
      </c>
      <c r="H279" s="5" t="s">
        <v>30</v>
      </c>
      <c r="I279" s="5" t="s">
        <v>192</v>
      </c>
      <c r="J279" s="5" t="s">
        <v>193</v>
      </c>
      <c r="K279" s="5" t="s">
        <v>319</v>
      </c>
      <c r="L279" s="5" t="s">
        <v>320</v>
      </c>
      <c r="M279" s="5" t="s">
        <v>329</v>
      </c>
      <c r="N279" s="5" t="s">
        <v>130</v>
      </c>
      <c r="O279" s="5" t="s">
        <v>131</v>
      </c>
      <c r="P279" s="15">
        <v>406000000</v>
      </c>
      <c r="Q279" s="13"/>
      <c r="R279" s="13">
        <v>5500000</v>
      </c>
      <c r="S279" s="13">
        <v>42000000</v>
      </c>
      <c r="T279" s="13">
        <v>25500000</v>
      </c>
      <c r="U279" s="13">
        <v>55000000</v>
      </c>
      <c r="V279" s="13">
        <v>55000000</v>
      </c>
      <c r="W279" s="13">
        <v>106500000</v>
      </c>
      <c r="X279" s="13">
        <v>25500000</v>
      </c>
      <c r="Y279" s="13">
        <v>25500000</v>
      </c>
      <c r="Z279" s="13">
        <v>25500000</v>
      </c>
      <c r="AA279" s="13">
        <v>20000000</v>
      </c>
      <c r="AB279" s="13">
        <v>20000000</v>
      </c>
      <c r="AC279" s="4">
        <f t="shared" si="4"/>
        <v>406000000</v>
      </c>
    </row>
    <row r="280" spans="3:29" ht="89.25" x14ac:dyDescent="0.25">
      <c r="C280" s="5" t="s">
        <v>27</v>
      </c>
      <c r="D280" s="5" t="s">
        <v>28</v>
      </c>
      <c r="E280" s="5" t="s">
        <v>27</v>
      </c>
      <c r="F280" s="5" t="s">
        <v>28</v>
      </c>
      <c r="G280" s="5" t="s">
        <v>29</v>
      </c>
      <c r="H280" s="5" t="s">
        <v>30</v>
      </c>
      <c r="I280" s="5" t="s">
        <v>192</v>
      </c>
      <c r="J280" s="5" t="s">
        <v>193</v>
      </c>
      <c r="K280" s="5" t="s">
        <v>319</v>
      </c>
      <c r="L280" s="5" t="s">
        <v>320</v>
      </c>
      <c r="M280" s="5" t="s">
        <v>329</v>
      </c>
      <c r="N280" s="5" t="s">
        <v>330</v>
      </c>
      <c r="O280" s="5" t="s">
        <v>331</v>
      </c>
      <c r="P280" s="15">
        <v>31770000</v>
      </c>
      <c r="Q280" s="13"/>
      <c r="R280" s="13"/>
      <c r="S280" s="13">
        <v>15885000</v>
      </c>
      <c r="T280" s="13"/>
      <c r="U280" s="13"/>
      <c r="V280" s="13"/>
      <c r="W280" s="13"/>
      <c r="X280" s="13"/>
      <c r="Y280" s="13"/>
      <c r="Z280" s="13">
        <v>15885000</v>
      </c>
      <c r="AA280" s="13"/>
      <c r="AB280" s="13"/>
      <c r="AC280" s="4">
        <f t="shared" si="4"/>
        <v>31770000</v>
      </c>
    </row>
    <row r="281" spans="3:29" ht="76.5" x14ac:dyDescent="0.25">
      <c r="C281" s="5" t="s">
        <v>27</v>
      </c>
      <c r="D281" s="5" t="s">
        <v>28</v>
      </c>
      <c r="E281" s="5" t="s">
        <v>27</v>
      </c>
      <c r="F281" s="5" t="s">
        <v>28</v>
      </c>
      <c r="G281" s="5" t="s">
        <v>29</v>
      </c>
      <c r="H281" s="5" t="s">
        <v>30</v>
      </c>
      <c r="I281" s="5" t="s">
        <v>192</v>
      </c>
      <c r="J281" s="5" t="s">
        <v>193</v>
      </c>
      <c r="K281" s="5" t="s">
        <v>319</v>
      </c>
      <c r="L281" s="5" t="s">
        <v>320</v>
      </c>
      <c r="M281" s="5" t="s">
        <v>329</v>
      </c>
      <c r="N281" s="5" t="s">
        <v>332</v>
      </c>
      <c r="O281" s="5" t="s">
        <v>333</v>
      </c>
      <c r="P281" s="15">
        <v>36600000</v>
      </c>
      <c r="Q281" s="13"/>
      <c r="R281" s="13"/>
      <c r="S281" s="13"/>
      <c r="T281" s="13">
        <v>12200000</v>
      </c>
      <c r="U281" s="13"/>
      <c r="V281" s="13"/>
      <c r="W281" s="13">
        <v>12200000</v>
      </c>
      <c r="X281" s="13"/>
      <c r="Y281" s="13"/>
      <c r="Z281" s="13">
        <v>12200000</v>
      </c>
      <c r="AA281" s="13"/>
      <c r="AB281" s="13"/>
      <c r="AC281" s="4">
        <f t="shared" si="4"/>
        <v>36600000</v>
      </c>
    </row>
    <row r="282" spans="3:29" ht="76.5" x14ac:dyDescent="0.25">
      <c r="C282" s="5" t="s">
        <v>27</v>
      </c>
      <c r="D282" s="5" t="s">
        <v>28</v>
      </c>
      <c r="E282" s="5" t="s">
        <v>27</v>
      </c>
      <c r="F282" s="5" t="s">
        <v>28</v>
      </c>
      <c r="G282" s="5" t="s">
        <v>29</v>
      </c>
      <c r="H282" s="5" t="s">
        <v>30</v>
      </c>
      <c r="I282" s="5" t="s">
        <v>192</v>
      </c>
      <c r="J282" s="5" t="s">
        <v>193</v>
      </c>
      <c r="K282" s="5" t="s">
        <v>319</v>
      </c>
      <c r="L282" s="5" t="s">
        <v>320</v>
      </c>
      <c r="M282" s="5" t="s">
        <v>329</v>
      </c>
      <c r="N282" s="5" t="s">
        <v>334</v>
      </c>
      <c r="O282" s="5" t="s">
        <v>335</v>
      </c>
      <c r="P282" s="15">
        <v>50000000</v>
      </c>
      <c r="Q282" s="13"/>
      <c r="R282" s="13"/>
      <c r="S282" s="13"/>
      <c r="T282" s="13"/>
      <c r="U282" s="13"/>
      <c r="V282" s="13"/>
      <c r="W282" s="13">
        <v>10000000</v>
      </c>
      <c r="X282" s="13"/>
      <c r="Y282" s="13"/>
      <c r="Z282" s="13">
        <v>10000000</v>
      </c>
      <c r="AA282" s="13">
        <v>30000000</v>
      </c>
      <c r="AB282" s="13"/>
      <c r="AC282" s="4">
        <f t="shared" si="4"/>
        <v>50000000</v>
      </c>
    </row>
    <row r="283" spans="3:29" ht="76.5" x14ac:dyDescent="0.25">
      <c r="C283" s="5" t="s">
        <v>27</v>
      </c>
      <c r="D283" s="5" t="s">
        <v>28</v>
      </c>
      <c r="E283" s="5" t="s">
        <v>27</v>
      </c>
      <c r="F283" s="5" t="s">
        <v>28</v>
      </c>
      <c r="G283" s="5" t="s">
        <v>29</v>
      </c>
      <c r="H283" s="5" t="s">
        <v>30</v>
      </c>
      <c r="I283" s="5" t="s">
        <v>192</v>
      </c>
      <c r="J283" s="5" t="s">
        <v>193</v>
      </c>
      <c r="K283" s="5" t="s">
        <v>319</v>
      </c>
      <c r="L283" s="5" t="s">
        <v>320</v>
      </c>
      <c r="M283" s="5" t="s">
        <v>329</v>
      </c>
      <c r="N283" s="5" t="s">
        <v>336</v>
      </c>
      <c r="O283" s="5" t="s">
        <v>337</v>
      </c>
      <c r="P283" s="15">
        <v>69350000</v>
      </c>
      <c r="Q283" s="13"/>
      <c r="R283" s="13"/>
      <c r="S283" s="13">
        <v>20700000</v>
      </c>
      <c r="T283" s="13"/>
      <c r="U283" s="13">
        <v>3650000</v>
      </c>
      <c r="V283" s="13">
        <v>20700000</v>
      </c>
      <c r="W283" s="13"/>
      <c r="X283" s="13">
        <v>3650000</v>
      </c>
      <c r="Y283" s="13">
        <v>20650000</v>
      </c>
      <c r="Z283" s="13"/>
      <c r="AA283" s="13"/>
      <c r="AB283" s="13"/>
      <c r="AC283" s="4">
        <f t="shared" si="4"/>
        <v>69350000</v>
      </c>
    </row>
    <row r="284" spans="3:29" ht="76.5" x14ac:dyDescent="0.25">
      <c r="C284" s="5" t="s">
        <v>27</v>
      </c>
      <c r="D284" s="5" t="s">
        <v>28</v>
      </c>
      <c r="E284" s="5" t="s">
        <v>27</v>
      </c>
      <c r="F284" s="5" t="s">
        <v>28</v>
      </c>
      <c r="G284" s="5" t="s">
        <v>29</v>
      </c>
      <c r="H284" s="5" t="s">
        <v>30</v>
      </c>
      <c r="I284" s="5" t="s">
        <v>192</v>
      </c>
      <c r="J284" s="5" t="s">
        <v>193</v>
      </c>
      <c r="K284" s="5" t="s">
        <v>319</v>
      </c>
      <c r="L284" s="5" t="s">
        <v>320</v>
      </c>
      <c r="M284" s="5" t="s">
        <v>329</v>
      </c>
      <c r="N284" s="5" t="s">
        <v>338</v>
      </c>
      <c r="O284" s="5" t="s">
        <v>339</v>
      </c>
      <c r="P284" s="15">
        <v>53400000</v>
      </c>
      <c r="Q284" s="13"/>
      <c r="R284" s="13"/>
      <c r="S284" s="13"/>
      <c r="T284" s="13">
        <v>11500000</v>
      </c>
      <c r="U284" s="13">
        <v>3450000</v>
      </c>
      <c r="V284" s="13"/>
      <c r="W284" s="13">
        <v>11500000</v>
      </c>
      <c r="X284" s="13">
        <v>3450000</v>
      </c>
      <c r="Y284" s="13">
        <v>12000000</v>
      </c>
      <c r="Z284" s="13">
        <v>11500000</v>
      </c>
      <c r="AA284" s="19"/>
      <c r="AB284" s="19"/>
      <c r="AC284" s="4">
        <f t="shared" si="4"/>
        <v>53400000</v>
      </c>
    </row>
    <row r="285" spans="3:29" ht="76.5" x14ac:dyDescent="0.25">
      <c r="C285" s="5" t="s">
        <v>27</v>
      </c>
      <c r="D285" s="5" t="s">
        <v>28</v>
      </c>
      <c r="E285" s="5" t="s">
        <v>27</v>
      </c>
      <c r="F285" s="5" t="s">
        <v>28</v>
      </c>
      <c r="G285" s="5" t="s">
        <v>29</v>
      </c>
      <c r="H285" s="5" t="s">
        <v>30</v>
      </c>
      <c r="I285" s="5" t="s">
        <v>192</v>
      </c>
      <c r="J285" s="5" t="s">
        <v>193</v>
      </c>
      <c r="K285" s="5" t="s">
        <v>319</v>
      </c>
      <c r="L285" s="5" t="s">
        <v>320</v>
      </c>
      <c r="M285" s="5" t="s">
        <v>329</v>
      </c>
      <c r="N285" s="5" t="s">
        <v>340</v>
      </c>
      <c r="O285" s="5" t="s">
        <v>341</v>
      </c>
      <c r="P285" s="15">
        <v>10400000</v>
      </c>
      <c r="Q285" s="13"/>
      <c r="R285" s="13"/>
      <c r="S285" s="13"/>
      <c r="T285" s="13"/>
      <c r="U285" s="13"/>
      <c r="V285" s="13"/>
      <c r="W285" s="13"/>
      <c r="X285" s="13"/>
      <c r="Y285" s="13">
        <v>10400000</v>
      </c>
      <c r="Z285" s="13"/>
      <c r="AA285" s="13"/>
      <c r="AB285" s="13"/>
      <c r="AC285" s="4">
        <f t="shared" si="4"/>
        <v>10400000</v>
      </c>
    </row>
    <row r="288" spans="3:29" x14ac:dyDescent="0.25">
      <c r="Z288" s="6"/>
    </row>
    <row r="290" spans="14:22" x14ac:dyDescent="0.25">
      <c r="Q290" s="6"/>
      <c r="V290" s="6"/>
    </row>
    <row r="293" spans="14:22" x14ac:dyDescent="0.25">
      <c r="N293" s="7"/>
      <c r="O293" s="7"/>
    </row>
    <row r="301" spans="14:22" x14ac:dyDescent="0.25">
      <c r="S301" s="8"/>
    </row>
    <row r="302" spans="14:22" x14ac:dyDescent="0.25">
      <c r="S302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RAK BELANJA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One Pro K7-24</dc:creator>
  <cp:lastModifiedBy>Disdik 03</cp:lastModifiedBy>
  <dcterms:created xsi:type="dcterms:W3CDTF">2025-12-16T03:20:36Z</dcterms:created>
  <dcterms:modified xsi:type="dcterms:W3CDTF">2026-06-02T23:36:06Z</dcterms:modified>
</cp:coreProperties>
</file>